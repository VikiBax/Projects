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1083649-A1A5-45AE-8FC2-CF0E48B7655C}" xr6:coauthVersionLast="47" xr6:coauthVersionMax="47" xr10:uidLastSave="{00000000-0000-0000-0000-000000000000}"/>
  <bookViews>
    <workbookView xWindow="-110" yWindow="-110" windowWidth="19420" windowHeight="11620" tabRatio="602" xr2:uid="{00000000-000D-0000-FFFF-FFFF00000000}"/>
  </bookViews>
  <sheets>
    <sheet name="AeroData" sheetId="58" r:id="rId1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5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Woodiga, Sudesh (S.)</author>
    <author>Joel Walter</author>
    <author>walterja</author>
  </authors>
  <commentList>
    <comment ref="C2" authorId="0" shapeId="0" xr:uid="{1D31AF0B-EB90-4459-A89B-3A0DFD539CB8}">
      <text>
        <r>
          <rPr>
            <sz val="9"/>
            <color indexed="81"/>
            <rFont val="Tahoma"/>
            <family val="2"/>
          </rPr>
          <t>As received with open grille and AGS closed (if available)</t>
        </r>
      </text>
    </comment>
    <comment ref="E3" authorId="0" shapeId="0" xr:uid="{FB12145C-50B9-483E-A3E2-591E1D1E860F}">
      <text>
        <r>
          <rPr>
            <sz val="9"/>
            <color indexed="81"/>
            <rFont val="Tahoma"/>
            <family val="2"/>
          </rPr>
          <t xml:space="preserve">Cooling/AGS open
</t>
        </r>
        <r>
          <rPr>
            <b/>
            <sz val="9"/>
            <color indexed="81"/>
            <rFont val="Tahoma"/>
            <family val="2"/>
          </rPr>
          <t>minus</t>
        </r>
        <r>
          <rPr>
            <sz val="9"/>
            <color indexed="81"/>
            <rFont val="Tahoma"/>
            <family val="2"/>
          </rPr>
          <t xml:space="preserve"> 
Fully taped/closed cooling openings (including brake ducts &amp; auxillary coolers) 
</t>
        </r>
      </text>
    </comment>
    <comment ref="E4" authorId="0" shapeId="0" xr:uid="{BF3AC9F3-A052-412D-83B3-1D9A8E97D1D6}">
      <text>
        <r>
          <rPr>
            <sz val="9"/>
            <color indexed="81"/>
            <rFont val="Tahoma"/>
            <family val="2"/>
          </rPr>
          <t xml:space="preserve">Baseline
</t>
        </r>
        <r>
          <rPr>
            <b/>
            <sz val="9"/>
            <color indexed="81"/>
            <rFont val="Tahoma"/>
            <family val="2"/>
          </rPr>
          <t xml:space="preserve">minus
</t>
        </r>
        <r>
          <rPr>
            <sz val="9"/>
            <color indexed="81"/>
            <rFont val="Tahoma"/>
            <family val="2"/>
          </rPr>
          <t>AGS open</t>
        </r>
      </text>
    </comment>
    <comment ref="E5" authorId="0" shapeId="0" xr:uid="{8FF0C977-3593-410A-BE2D-BF80A76E0B5D}">
      <text>
        <r>
          <rPr>
            <sz val="9"/>
            <color indexed="81"/>
            <rFont val="Tahoma"/>
            <family val="2"/>
          </rPr>
          <t xml:space="preserve">Baseline
</t>
        </r>
        <r>
          <rPr>
            <b/>
            <sz val="9"/>
            <color indexed="81"/>
            <rFont val="Tahoma"/>
            <family val="2"/>
          </rPr>
          <t xml:space="preserve">minus 
</t>
        </r>
        <r>
          <rPr>
            <sz val="9"/>
            <color indexed="81"/>
            <rFont val="Tahoma"/>
            <family val="2"/>
          </rPr>
          <t>Mirrors off</t>
        </r>
      </text>
    </comment>
    <comment ref="E6" authorId="0" shapeId="0" xr:uid="{C27C85D0-712D-4FA4-9CD8-AFB23A669E0B}">
      <text>
        <r>
          <rPr>
            <sz val="9"/>
            <color indexed="81"/>
            <rFont val="Tahoma"/>
            <family val="2"/>
          </rPr>
          <t xml:space="preserve">Baseline
</t>
        </r>
        <r>
          <rPr>
            <b/>
            <sz val="9"/>
            <color indexed="81"/>
            <rFont val="Tahoma"/>
            <family val="2"/>
          </rPr>
          <t xml:space="preserve">minus 
</t>
        </r>
        <r>
          <rPr>
            <sz val="9"/>
            <color indexed="81"/>
            <rFont val="Tahoma"/>
            <family val="2"/>
          </rPr>
          <t>Cutlines taped</t>
        </r>
      </text>
    </comment>
    <comment ref="E7" authorId="0" shapeId="0" xr:uid="{01369B84-84DF-4AC3-A9A1-AC169DC58B5D}">
      <text>
        <r>
          <rPr>
            <sz val="9"/>
            <color indexed="81"/>
            <rFont val="Tahoma"/>
            <family val="2"/>
          </rPr>
          <t xml:space="preserve">Baseline
</t>
        </r>
        <r>
          <rPr>
            <b/>
            <sz val="9"/>
            <color indexed="81"/>
            <rFont val="Tahoma"/>
            <family val="2"/>
          </rPr>
          <t xml:space="preserve">minus 
</t>
        </r>
        <r>
          <rPr>
            <sz val="9"/>
            <color indexed="81"/>
            <rFont val="Tahoma"/>
            <family val="2"/>
          </rPr>
          <t>Flushed wheels</t>
        </r>
      </text>
    </comment>
    <comment ref="C10" authorId="1" shapeId="0" xr:uid="{5C07260D-54DC-405F-BF6B-6B373FC67B18}">
      <text>
        <r>
          <rPr>
            <sz val="10"/>
            <color indexed="81"/>
            <rFont val="Arial"/>
            <family val="2"/>
          </rPr>
          <t xml:space="preserve">Optional column for additional comments.  Widen  as required.  </t>
        </r>
      </text>
    </comment>
    <comment ref="F10" authorId="1" shapeId="0" xr:uid="{2B429853-6DE5-494B-AB2D-8854C9561BB1}">
      <text>
        <r>
          <rPr>
            <sz val="10"/>
            <color indexed="81"/>
            <rFont val="Arial"/>
            <family val="2"/>
          </rPr>
          <t>This column contains the velocity (primary or secondary) associated with the value of q</t>
        </r>
        <r>
          <rPr>
            <vertAlign val="subscript"/>
            <sz val="10"/>
            <color indexed="81"/>
            <rFont val="Arial"/>
            <family val="2"/>
          </rPr>
          <t>inf</t>
        </r>
        <r>
          <rPr>
            <sz val="10"/>
            <color indexed="81"/>
            <rFont val="Arial"/>
            <family val="2"/>
          </rPr>
          <t>.</t>
        </r>
      </text>
    </comment>
    <comment ref="G10" authorId="1" shapeId="0" xr:uid="{8AEA6FF5-65C0-4757-8417-E5B918B5A6F5}">
      <text>
        <r>
          <rPr>
            <sz val="10"/>
            <color indexed="81"/>
            <rFont val="Arial"/>
            <family val="2"/>
          </rPr>
          <t>This column contains the value of q (primary or secondary) that was used to control the tunnel.  It is assumed that whichever system was used on Point 1 was used for the entire run.</t>
        </r>
      </text>
    </comment>
    <comment ref="J10" authorId="1" shapeId="0" xr:uid="{13C86C4F-FB08-432D-BC0E-B1DDFAADA8AB}">
      <text>
        <r>
          <rPr>
            <sz val="10"/>
            <color indexed="81"/>
            <rFont val="Arial"/>
            <family val="2"/>
          </rPr>
          <t>Optional column for the user to insert delta C</t>
        </r>
        <r>
          <rPr>
            <vertAlign val="subscript"/>
            <sz val="10"/>
            <color indexed="81"/>
            <rFont val="Arial"/>
            <family val="2"/>
          </rPr>
          <t>D</t>
        </r>
        <r>
          <rPr>
            <sz val="10"/>
            <color indexed="81"/>
            <rFont val="Arial"/>
            <family val="2"/>
          </rPr>
          <t xml:space="preserve"> against baseline values.</t>
        </r>
      </text>
    </comment>
    <comment ref="L10" authorId="1" shapeId="0" xr:uid="{E99A3AC7-3849-49E1-92A0-C4DA3C074E48}">
      <text>
        <r>
          <rPr>
            <sz val="10"/>
            <color indexed="81"/>
            <rFont val="Arial"/>
            <family val="2"/>
          </rPr>
          <t>Optional column for the user to insert delta C</t>
        </r>
        <r>
          <rPr>
            <vertAlign val="subscript"/>
            <sz val="10"/>
            <color indexed="81"/>
            <rFont val="Arial"/>
            <family val="2"/>
          </rPr>
          <t>L</t>
        </r>
        <r>
          <rPr>
            <sz val="10"/>
            <color indexed="81"/>
            <rFont val="Arial"/>
            <family val="2"/>
          </rPr>
          <t xml:space="preserve"> against baseline values.</t>
        </r>
      </text>
    </comment>
    <comment ref="N10" authorId="1" shapeId="0" xr:uid="{9821CC6C-4A94-4B28-98B4-5483CE338D48}">
      <text>
        <r>
          <rPr>
            <sz val="10"/>
            <color indexed="81"/>
            <rFont val="Arial"/>
            <family val="2"/>
          </rPr>
          <t>Optional column for the user to insert delta C</t>
        </r>
        <r>
          <rPr>
            <vertAlign val="subscript"/>
            <sz val="10"/>
            <color indexed="81"/>
            <rFont val="Arial"/>
            <family val="2"/>
          </rPr>
          <t>LF</t>
        </r>
        <r>
          <rPr>
            <sz val="10"/>
            <color indexed="81"/>
            <rFont val="Arial"/>
            <family val="2"/>
          </rPr>
          <t xml:space="preserve"> against baseline values.</t>
        </r>
      </text>
    </comment>
    <comment ref="P10" authorId="1" shapeId="0" xr:uid="{B60254B3-EC92-4EE1-9B23-EC1E98CEED91}">
      <text>
        <r>
          <rPr>
            <sz val="10"/>
            <color indexed="81"/>
            <rFont val="Arial"/>
            <family val="2"/>
          </rPr>
          <t>Optional column for the user to insert delta C</t>
        </r>
        <r>
          <rPr>
            <vertAlign val="subscript"/>
            <sz val="10"/>
            <color indexed="81"/>
            <rFont val="Arial"/>
            <family val="2"/>
          </rPr>
          <t>LR</t>
        </r>
        <r>
          <rPr>
            <sz val="10"/>
            <color indexed="81"/>
            <rFont val="Arial"/>
            <family val="2"/>
          </rPr>
          <t xml:space="preserve"> against baseline values.</t>
        </r>
      </text>
    </comment>
    <comment ref="V10" authorId="2" shapeId="0" xr:uid="{E9E122C6-1720-43FF-99AC-36C155DE1C82}">
      <text>
        <r>
          <rPr>
            <sz val="10"/>
            <color indexed="81"/>
            <rFont val="Arial"/>
            <family val="2"/>
          </rPr>
          <t xml:space="preserve">This column contains the ratio of primary q to secondary q.
Based on a 3-sigma uncertainty analysis, an acceptable range is 0.996 </t>
        </r>
        <r>
          <rPr>
            <u/>
            <sz val="10"/>
            <color indexed="81"/>
            <rFont val="Arial"/>
            <family val="2"/>
          </rPr>
          <t>&lt;</t>
        </r>
        <r>
          <rPr>
            <sz val="10"/>
            <color indexed="81"/>
            <rFont val="Arial"/>
            <family val="2"/>
          </rPr>
          <t xml:space="preserve"> q ratio </t>
        </r>
        <r>
          <rPr>
            <u/>
            <sz val="10"/>
            <color indexed="81"/>
            <rFont val="Arial"/>
            <family val="2"/>
          </rPr>
          <t>&lt;</t>
        </r>
        <r>
          <rPr>
            <sz val="10"/>
            <color indexed="81"/>
            <rFont val="Arial"/>
            <family val="2"/>
          </rPr>
          <t xml:space="preserve"> 1.004.  WT8 staff should be notified if the q ratio falls outside this range consistently.</t>
        </r>
      </text>
    </comment>
    <comment ref="W10" authorId="2" shapeId="0" xr:uid="{807B16DC-240D-41B1-82D1-611351D26FFA}">
      <text>
        <r>
          <rPr>
            <sz val="10"/>
            <color indexed="81"/>
            <rFont val="Arial"/>
            <family val="2"/>
          </rPr>
          <t>This column contains the absolute difference between C</t>
        </r>
        <r>
          <rPr>
            <vertAlign val="subscript"/>
            <sz val="10"/>
            <color indexed="81"/>
            <rFont val="Arial"/>
            <family val="2"/>
          </rPr>
          <t>D</t>
        </r>
        <r>
          <rPr>
            <sz val="10"/>
            <color indexed="81"/>
            <rFont val="Arial"/>
            <family val="2"/>
          </rPr>
          <t xml:space="preserve"> formulated on primary q and C</t>
        </r>
        <r>
          <rPr>
            <vertAlign val="subscript"/>
            <sz val="10"/>
            <color indexed="81"/>
            <rFont val="Arial"/>
            <family val="2"/>
          </rPr>
          <t>D</t>
        </r>
        <r>
          <rPr>
            <sz val="10"/>
            <color indexed="81"/>
            <rFont val="Arial"/>
            <family val="2"/>
          </rPr>
          <t xml:space="preserve"> formulated on secondary q. 
For vehicles up to CD ~ 0.500, a difference of up to 0.002 can be expected.  WT8 Engineering should be notified if the difference is consistently greater than this.</t>
        </r>
      </text>
    </comment>
    <comment ref="X10" authorId="2" shapeId="0" xr:uid="{9602E307-09A7-445A-AE03-2CC0744B4AE1}">
      <text>
        <r>
          <rPr>
            <sz val="10"/>
            <color indexed="81"/>
            <rFont val="Arial"/>
            <family val="2"/>
          </rPr>
          <t>This column specifies which of the two available q systems, primary or secondary, was used to control airspeed and dynamic pressure.</t>
        </r>
      </text>
    </comment>
    <comment ref="AP10" authorId="1" shapeId="0" xr:uid="{131F4A85-BC89-4CF3-A20F-092E9BB11AFC}">
      <text>
        <r>
          <rPr>
            <sz val="10"/>
            <color indexed="81"/>
            <rFont val="Arial"/>
            <family val="2"/>
          </rPr>
          <t>This column contains the nozzle exit temperature associated with the value of T</t>
        </r>
        <r>
          <rPr>
            <vertAlign val="subscript"/>
            <sz val="10"/>
            <color indexed="81"/>
            <rFont val="Arial"/>
            <family val="2"/>
          </rPr>
          <t>inf</t>
        </r>
        <r>
          <rPr>
            <sz val="10"/>
            <color indexed="81"/>
            <rFont val="Arial"/>
            <family val="2"/>
          </rPr>
          <t>.</t>
        </r>
      </text>
    </comment>
    <comment ref="AS10" authorId="1" shapeId="0" xr:uid="{516E3BD6-3E11-4797-9256-209152E8F0B7}">
      <text>
        <r>
          <rPr>
            <sz val="10"/>
            <color indexed="81"/>
            <rFont val="Arial"/>
            <family val="2"/>
          </rPr>
          <t>This column contains the value of q (primary or secondary) that was used to control the tunnel.  It is assumed that whichever system was used on Point 1 was used for the entire run.</t>
        </r>
      </text>
    </comment>
    <comment ref="AT10" authorId="1" shapeId="0" xr:uid="{FDC140E6-CD5C-47D9-B69A-CA8694B148C7}">
      <text>
        <r>
          <rPr>
            <sz val="10"/>
            <color indexed="81"/>
            <rFont val="Arial"/>
            <family val="2"/>
          </rPr>
          <t>This column contains the velocity (primary or secondary) associated with the value of q</t>
        </r>
        <r>
          <rPr>
            <vertAlign val="subscript"/>
            <sz val="10"/>
            <color indexed="81"/>
            <rFont val="Arial"/>
            <family val="2"/>
          </rPr>
          <t>inf</t>
        </r>
        <r>
          <rPr>
            <sz val="10"/>
            <color indexed="81"/>
            <rFont val="Arial"/>
            <family val="2"/>
          </rPr>
          <t>.</t>
        </r>
      </text>
    </comment>
    <comment ref="AX10" authorId="2" shapeId="0" xr:uid="{981DFCA5-F119-4D99-8EBF-517B498CDB36}">
      <text>
        <r>
          <rPr>
            <sz val="10"/>
            <color indexed="81"/>
            <rFont val="Arial"/>
            <family val="2"/>
          </rPr>
          <t xml:space="preserve">This column contains the ratio of primary q to secondary q.
Based on a 3-sigma uncertainty analysis, an acceptable range is 0.996 </t>
        </r>
        <r>
          <rPr>
            <u/>
            <sz val="10"/>
            <color indexed="81"/>
            <rFont val="Arial"/>
            <family val="2"/>
          </rPr>
          <t>&lt;</t>
        </r>
        <r>
          <rPr>
            <sz val="10"/>
            <color indexed="81"/>
            <rFont val="Arial"/>
            <family val="2"/>
          </rPr>
          <t xml:space="preserve"> q ratio </t>
        </r>
        <r>
          <rPr>
            <u/>
            <sz val="10"/>
            <color indexed="81"/>
            <rFont val="Arial"/>
            <family val="2"/>
          </rPr>
          <t>&lt;</t>
        </r>
        <r>
          <rPr>
            <sz val="10"/>
            <color indexed="81"/>
            <rFont val="Arial"/>
            <family val="2"/>
          </rPr>
          <t xml:space="preserve"> 1.004.  WT8 staff should be notified if the q ratio falls outside this range consistently.</t>
        </r>
      </text>
    </comment>
    <comment ref="AY10" authorId="2" shapeId="0" xr:uid="{576D40BD-9111-446E-B3AB-3F83CAF86E67}">
      <text>
        <r>
          <rPr>
            <sz val="10"/>
            <color indexed="81"/>
            <rFont val="Arial"/>
            <family val="2"/>
          </rPr>
          <t>This column contains the absolute difference between C</t>
        </r>
        <r>
          <rPr>
            <vertAlign val="subscript"/>
            <sz val="10"/>
            <color indexed="81"/>
            <rFont val="Arial"/>
            <family val="2"/>
          </rPr>
          <t>D</t>
        </r>
        <r>
          <rPr>
            <sz val="10"/>
            <color indexed="81"/>
            <rFont val="Arial"/>
            <family val="2"/>
          </rPr>
          <t xml:space="preserve"> formulated on primary q and C</t>
        </r>
        <r>
          <rPr>
            <vertAlign val="subscript"/>
            <sz val="10"/>
            <color indexed="81"/>
            <rFont val="Arial"/>
            <family val="2"/>
          </rPr>
          <t>D</t>
        </r>
        <r>
          <rPr>
            <sz val="10"/>
            <color indexed="81"/>
            <rFont val="Arial"/>
            <family val="2"/>
          </rPr>
          <t xml:space="preserve"> formulated on secondary q. 
For vehicles up to CD ~ 0.500, a difference of up to 0.002 can be expected.  WT8 Engineering should be notified if the difference is consistently greater than this.</t>
        </r>
      </text>
    </comment>
    <comment ref="AZ10" authorId="2" shapeId="0" xr:uid="{C8C1A715-FA2A-4DF9-92B8-209C7DE5A523}">
      <text>
        <r>
          <rPr>
            <sz val="10"/>
            <color indexed="81"/>
            <rFont val="Arial"/>
            <family val="2"/>
          </rPr>
          <t>This column specifies which of the two available q systems, primary or secondary, was used to control airspeed and dynamic pressure.</t>
        </r>
      </text>
    </comment>
  </commentList>
</comments>
</file>

<file path=xl/sharedStrings.xml><?xml version="1.0" encoding="utf-8"?>
<sst xmlns="http://schemas.openxmlformats.org/spreadsheetml/2006/main" count="342" uniqueCount="90">
  <si>
    <t>Point</t>
  </si>
  <si>
    <t xml:space="preserve">Configuration </t>
  </si>
  <si>
    <t>Date</t>
  </si>
  <si>
    <t>Start Time</t>
  </si>
  <si>
    <t>Wheelbase</t>
  </si>
  <si>
    <t>Front Track</t>
  </si>
  <si>
    <t>Rear Track</t>
  </si>
  <si>
    <t>Length</t>
  </si>
  <si>
    <t>Frontal Area</t>
  </si>
  <si>
    <t>Run</t>
  </si>
  <si>
    <t>Test No.</t>
  </si>
  <si>
    <t>in.</t>
  </si>
  <si>
    <t>Diagnostics</t>
  </si>
  <si>
    <t>Baseline</t>
  </si>
  <si>
    <t>Mirrors</t>
  </si>
  <si>
    <t>Cutlines</t>
  </si>
  <si>
    <t>mm</t>
  </si>
  <si>
    <t>Tag Number</t>
  </si>
  <si>
    <t>Aerodynamic Force and Moment Coefficients</t>
  </si>
  <si>
    <t>Test Conditions</t>
  </si>
  <si>
    <t>Vehicle Dimensions</t>
  </si>
  <si>
    <t>Test Information</t>
  </si>
  <si>
    <t>Year, Model</t>
  </si>
  <si>
    <r>
      <t>C</t>
    </r>
    <r>
      <rPr>
        <b/>
        <vertAlign val="subscript"/>
        <sz val="9"/>
        <rFont val="Arial"/>
        <family val="2"/>
      </rPr>
      <t>D</t>
    </r>
  </si>
  <si>
    <r>
      <t>D</t>
    </r>
    <r>
      <rPr>
        <b/>
        <sz val="9"/>
        <rFont val="Arial"/>
        <family val="2"/>
      </rPr>
      <t>C</t>
    </r>
    <r>
      <rPr>
        <b/>
        <vertAlign val="subscript"/>
        <sz val="9"/>
        <rFont val="Arial"/>
        <family val="2"/>
      </rPr>
      <t>D</t>
    </r>
  </si>
  <si>
    <r>
      <t>C</t>
    </r>
    <r>
      <rPr>
        <b/>
        <vertAlign val="subscript"/>
        <sz val="9"/>
        <rFont val="Arial"/>
        <family val="2"/>
      </rPr>
      <t>L</t>
    </r>
  </si>
  <si>
    <r>
      <t>D</t>
    </r>
    <r>
      <rPr>
        <b/>
        <sz val="9"/>
        <rFont val="Arial"/>
        <family val="2"/>
      </rPr>
      <t>C</t>
    </r>
    <r>
      <rPr>
        <b/>
        <vertAlign val="subscript"/>
        <sz val="9"/>
        <rFont val="Arial"/>
        <family val="2"/>
      </rPr>
      <t>L</t>
    </r>
  </si>
  <si>
    <r>
      <t>C</t>
    </r>
    <r>
      <rPr>
        <b/>
        <vertAlign val="subscript"/>
        <sz val="9"/>
        <rFont val="Arial"/>
        <family val="2"/>
      </rPr>
      <t>LF</t>
    </r>
  </si>
  <si>
    <r>
      <t>D</t>
    </r>
    <r>
      <rPr>
        <b/>
        <sz val="9"/>
        <rFont val="Arial"/>
        <family val="2"/>
      </rPr>
      <t>C</t>
    </r>
    <r>
      <rPr>
        <b/>
        <vertAlign val="subscript"/>
        <sz val="9"/>
        <rFont val="Arial"/>
        <family val="2"/>
      </rPr>
      <t>LF</t>
    </r>
  </si>
  <si>
    <r>
      <t>C</t>
    </r>
    <r>
      <rPr>
        <b/>
        <vertAlign val="subscript"/>
        <sz val="9"/>
        <rFont val="Arial"/>
        <family val="2"/>
      </rPr>
      <t>LR</t>
    </r>
  </si>
  <si>
    <r>
      <t>D</t>
    </r>
    <r>
      <rPr>
        <b/>
        <sz val="9"/>
        <rFont val="Arial"/>
        <family val="2"/>
      </rPr>
      <t>C</t>
    </r>
    <r>
      <rPr>
        <b/>
        <vertAlign val="subscript"/>
        <sz val="9"/>
        <rFont val="Arial"/>
        <family val="2"/>
      </rPr>
      <t>LR</t>
    </r>
  </si>
  <si>
    <r>
      <t>C</t>
    </r>
    <r>
      <rPr>
        <b/>
        <vertAlign val="subscript"/>
        <sz val="9"/>
        <rFont val="Arial"/>
        <family val="2"/>
      </rPr>
      <t>S</t>
    </r>
  </si>
  <si>
    <r>
      <t>C</t>
    </r>
    <r>
      <rPr>
        <b/>
        <vertAlign val="subscript"/>
        <sz val="9"/>
        <rFont val="Arial"/>
        <family val="2"/>
      </rPr>
      <t>PM</t>
    </r>
  </si>
  <si>
    <r>
      <t>C</t>
    </r>
    <r>
      <rPr>
        <b/>
        <vertAlign val="subscript"/>
        <sz val="9"/>
        <rFont val="Arial"/>
        <family val="2"/>
      </rPr>
      <t>YM</t>
    </r>
  </si>
  <si>
    <r>
      <t>C</t>
    </r>
    <r>
      <rPr>
        <b/>
        <vertAlign val="subscript"/>
        <sz val="9"/>
        <rFont val="Arial"/>
        <family val="2"/>
      </rPr>
      <t>RM</t>
    </r>
  </si>
  <si>
    <r>
      <t xml:space="preserve">q </t>
    </r>
    <r>
      <rPr>
        <vertAlign val="subscript"/>
        <sz val="9"/>
        <rFont val="Arial"/>
        <family val="2"/>
      </rPr>
      <t>pri</t>
    </r>
    <r>
      <rPr>
        <b/>
        <sz val="9"/>
        <rFont val="Arial"/>
        <family val="2"/>
      </rPr>
      <t xml:space="preserve">/q </t>
    </r>
    <r>
      <rPr>
        <vertAlign val="subscript"/>
        <sz val="9"/>
        <rFont val="Arial"/>
        <family val="2"/>
      </rPr>
      <t>sec</t>
    </r>
  </si>
  <si>
    <r>
      <t>C</t>
    </r>
    <r>
      <rPr>
        <b/>
        <vertAlign val="subscript"/>
        <sz val="9"/>
        <rFont val="Arial"/>
        <family val="2"/>
      </rPr>
      <t xml:space="preserve">D </t>
    </r>
    <r>
      <rPr>
        <b/>
        <sz val="9"/>
        <rFont val="Arial"/>
        <family val="2"/>
      </rPr>
      <t>Increments</t>
    </r>
  </si>
  <si>
    <r>
      <t>ft</t>
    </r>
    <r>
      <rPr>
        <vertAlign val="superscript"/>
        <sz val="9"/>
        <rFont val="Arial"/>
        <family val="2"/>
      </rPr>
      <t>2</t>
    </r>
  </si>
  <si>
    <t>Yaw
(°)</t>
  </si>
  <si>
    <r>
      <t>V</t>
    </r>
    <r>
      <rPr>
        <b/>
        <vertAlign val="subscript"/>
        <sz val="9"/>
        <rFont val="Arial"/>
        <family val="2"/>
      </rPr>
      <t xml:space="preserve">inf
</t>
    </r>
    <r>
      <rPr>
        <b/>
        <sz val="9"/>
        <rFont val="Arial"/>
        <family val="2"/>
      </rPr>
      <t>(mph)</t>
    </r>
  </si>
  <si>
    <t>BLC Prs
(psid)</t>
  </si>
  <si>
    <r>
      <t>D</t>
    </r>
    <r>
      <rPr>
        <b/>
        <sz val="9"/>
        <rFont val="Arial"/>
        <family val="2"/>
      </rPr>
      <t>C</t>
    </r>
    <r>
      <rPr>
        <b/>
        <vertAlign val="subscript"/>
        <sz val="9"/>
        <rFont val="Arial"/>
        <family val="2"/>
      </rPr>
      <t xml:space="preserve">D
</t>
    </r>
    <r>
      <rPr>
        <b/>
        <sz val="9"/>
        <rFont val="Arial"/>
        <family val="2"/>
      </rPr>
      <t>Pri-Sec</t>
    </r>
  </si>
  <si>
    <r>
      <t>C</t>
    </r>
    <r>
      <rPr>
        <b/>
        <vertAlign val="subscript"/>
        <sz val="9"/>
        <rFont val="Arial"/>
        <family val="2"/>
      </rPr>
      <t>L</t>
    </r>
    <r>
      <rPr>
        <b/>
        <sz val="9"/>
        <rFont val="Arial"/>
        <family val="2"/>
      </rPr>
      <t xml:space="preserve"> Bal</t>
    </r>
  </si>
  <si>
    <t>q 
Control</t>
  </si>
  <si>
    <r>
      <t xml:space="preserve"> m</t>
    </r>
    <r>
      <rPr>
        <vertAlign val="superscript"/>
        <sz val="9"/>
        <rFont val="Arial"/>
        <family val="2"/>
      </rPr>
      <t>2</t>
    </r>
  </si>
  <si>
    <r>
      <t xml:space="preserve">q </t>
    </r>
    <r>
      <rPr>
        <b/>
        <vertAlign val="subscript"/>
        <sz val="9"/>
        <rFont val="Arial"/>
        <family val="2"/>
      </rPr>
      <t xml:space="preserve">inf
</t>
    </r>
    <r>
      <rPr>
        <b/>
        <sz val="9"/>
        <rFont val="Arial"/>
        <family val="2"/>
      </rPr>
      <t>(psf)</t>
    </r>
  </si>
  <si>
    <t>Rose Control</t>
  </si>
  <si>
    <t>q System</t>
  </si>
  <si>
    <t>BLC</t>
  </si>
  <si>
    <r>
      <t>T</t>
    </r>
    <r>
      <rPr>
        <b/>
        <vertAlign val="subscript"/>
        <sz val="9"/>
        <rFont val="Arial"/>
        <family val="2"/>
      </rPr>
      <t xml:space="preserve">inf
</t>
    </r>
    <r>
      <rPr>
        <b/>
        <sz val="9"/>
        <rFont val="Arial"/>
        <family val="2"/>
      </rPr>
      <t>(F)</t>
    </r>
  </si>
  <si>
    <t>Fan</t>
  </si>
  <si>
    <t>BLC
Status</t>
  </si>
  <si>
    <t>Fan Current</t>
  </si>
  <si>
    <t>Fan RPM</t>
  </si>
  <si>
    <t>RH Set (%)</t>
  </si>
  <si>
    <t>RH Act (%)</t>
  </si>
  <si>
    <t>Aerodynamic Forces</t>
  </si>
  <si>
    <t>WT8 Diagnostics</t>
  </si>
  <si>
    <r>
      <t>A</t>
    </r>
    <r>
      <rPr>
        <b/>
        <vertAlign val="subscript"/>
        <sz val="9"/>
        <color theme="1"/>
        <rFont val="Arial"/>
        <family val="2"/>
      </rPr>
      <t xml:space="preserve">F
</t>
    </r>
    <r>
      <rPr>
        <b/>
        <sz val="9"/>
        <color theme="1"/>
        <rFont val="Arial"/>
        <family val="2"/>
      </rPr>
      <t>(m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>)</t>
    </r>
  </si>
  <si>
    <t>Wheels</t>
  </si>
  <si>
    <t>Cooling Drag</t>
  </si>
  <si>
    <r>
      <t>C</t>
    </r>
    <r>
      <rPr>
        <b/>
        <vertAlign val="subscript"/>
        <sz val="9"/>
        <rFont val="Arial"/>
        <family val="2"/>
      </rPr>
      <t xml:space="preserve">D </t>
    </r>
    <r>
      <rPr>
        <b/>
        <sz val="9"/>
        <rFont val="Arial"/>
        <family val="2"/>
      </rPr>
      <t>Deltas</t>
    </r>
  </si>
  <si>
    <t>AGS</t>
  </si>
  <si>
    <t>Drag   (N)</t>
  </si>
  <si>
    <t>Lift  
(N)</t>
  </si>
  <si>
    <t>Lift LF
(N)</t>
  </si>
  <si>
    <t>Lift RF
(N)</t>
  </si>
  <si>
    <t>Lift LR
(N)</t>
  </si>
  <si>
    <t>Lift RR
(N)</t>
  </si>
  <si>
    <t>PM 
(N-m)</t>
  </si>
  <si>
    <t>YM 
(N-m)</t>
  </si>
  <si>
    <t>RM 
(N-m)</t>
  </si>
  <si>
    <t>Side   (N)</t>
  </si>
  <si>
    <t>SEC</t>
  </si>
  <si>
    <t>OFF</t>
  </si>
  <si>
    <t>ON</t>
  </si>
  <si>
    <t/>
  </si>
  <si>
    <t>DE9956</t>
  </si>
  <si>
    <t>Ohio State University FSAE</t>
  </si>
  <si>
    <t>check point</t>
  </si>
  <si>
    <t>speed sweep</t>
  </si>
  <si>
    <t>yaw sweep</t>
  </si>
  <si>
    <t>high front wing - high downforce</t>
  </si>
  <si>
    <t>low drag</t>
  </si>
  <si>
    <t>180 deg yaw</t>
  </si>
  <si>
    <t>Baseline High Downforce speed sweep</t>
  </si>
  <si>
    <t>Baseline High Downforce yaw swep</t>
  </si>
  <si>
    <t>high front wing - high downforce speed sweep</t>
  </si>
  <si>
    <t>high front wing - high downforce yaw sweep</t>
  </si>
  <si>
    <t>low drag speed sweep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</si>
</sst>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#,##0.00;[Red]\-#,##0.00"/>
    <numFmt numFmtId="167" formatCode="m/d/yyyy;@"/>
  </numFmts>
  <fonts count="3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63"/>
      <name val="Arial"/>
      <family val="2"/>
    </font>
    <font>
      <b/>
      <sz val="11"/>
      <name val="Helv"/>
    </font>
    <font>
      <sz val="10"/>
      <name val="Geneva"/>
    </font>
    <font>
      <sz val="9"/>
      <color indexed="81"/>
      <name val="Tahoma"/>
      <family val="2"/>
    </font>
    <font>
      <b/>
      <sz val="9"/>
      <name val="Symbol"/>
      <family val="1"/>
      <charset val="2"/>
    </font>
    <font>
      <b/>
      <sz val="12"/>
      <color rgb="FFFF0000"/>
      <name val="Arial"/>
      <family val="2"/>
    </font>
    <font>
      <sz val="9"/>
      <color indexed="8"/>
      <name val="Arial"/>
      <family val="2"/>
    </font>
    <font>
      <b/>
      <vertAlign val="subscript"/>
      <sz val="9"/>
      <name val="Arial"/>
      <family val="2"/>
    </font>
    <font>
      <vertAlign val="subscript"/>
      <sz val="9"/>
      <name val="Arial"/>
      <family val="2"/>
    </font>
    <font>
      <sz val="9"/>
      <color indexed="9"/>
      <name val="Arial"/>
      <family val="2"/>
    </font>
    <font>
      <vertAlign val="superscript"/>
      <sz val="9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indexed="81"/>
      <name val="Arial"/>
      <family val="2"/>
    </font>
    <font>
      <vertAlign val="subscript"/>
      <sz val="10"/>
      <color indexed="81"/>
      <name val="Arial"/>
      <family val="2"/>
    </font>
    <font>
      <u/>
      <sz val="10"/>
      <color indexed="81"/>
      <name val="Arial"/>
      <family val="2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b/>
      <sz val="20"/>
      <name val="Arial"/>
      <family val="2"/>
    </font>
    <font>
      <b/>
      <vertAlign val="superscript"/>
      <sz val="9"/>
      <color theme="1"/>
      <name val="Arial"/>
      <family val="2"/>
    </font>
    <font>
      <b/>
      <vertAlign val="subscript"/>
      <sz val="9"/>
      <color theme="1"/>
      <name val="Arial"/>
      <family val="2"/>
    </font>
    <font>
      <b/>
      <sz val="14"/>
      <color indexed="6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166" fontId="9" fillId="0" borderId="0" applyFont="0" applyFill="0" applyBorder="0" applyAlignment="0" applyProtection="0"/>
    <xf numFmtId="0" fontId="4" fillId="0" borderId="0"/>
    <xf numFmtId="0" fontId="8" fillId="0" borderId="0">
      <alignment horizontal="center"/>
    </xf>
    <xf numFmtId="9" fontId="4" fillId="0" borderId="0" applyFont="0" applyFill="0" applyBorder="0" applyAlignment="0" applyProtection="0"/>
    <xf numFmtId="0" fontId="8" fillId="0" borderId="0">
      <alignment horizontal="center"/>
    </xf>
    <xf numFmtId="0" fontId="3" fillId="0" borderId="0"/>
    <xf numFmtId="0" fontId="4" fillId="0" borderId="0"/>
  </cellStyleXfs>
  <cellXfs count="160">
    <xf numFmtId="0" fontId="0" fillId="0" borderId="0" xfId="0"/>
    <xf numFmtId="0" fontId="6" fillId="0" borderId="0" xfId="0" applyFont="1" applyAlignment="1">
      <alignment vertical="center"/>
    </xf>
    <xf numFmtId="0" fontId="19" fillId="2" borderId="0" xfId="0" applyFont="1" applyFill="1" applyAlignment="1" applyProtection="1">
      <alignment vertical="center" wrapText="1"/>
      <protection hidden="1"/>
    </xf>
    <xf numFmtId="0" fontId="18" fillId="2" borderId="0" xfId="0" applyFont="1" applyFill="1" applyAlignment="1" applyProtection="1">
      <alignment vertical="center"/>
      <protection hidden="1"/>
    </xf>
    <xf numFmtId="164" fontId="13" fillId="2" borderId="15" xfId="0" applyNumberFormat="1" applyFont="1" applyFill="1" applyBorder="1" applyAlignment="1" applyProtection="1">
      <alignment horizontal="right" vertical="center"/>
      <protection hidden="1"/>
    </xf>
    <xf numFmtId="165" fontId="6" fillId="2" borderId="17" xfId="0" applyNumberFormat="1" applyFont="1" applyFill="1" applyBorder="1" applyAlignment="1" applyProtection="1">
      <alignment horizontal="left" vertical="center"/>
      <protection hidden="1"/>
    </xf>
    <xf numFmtId="2" fontId="6" fillId="2" borderId="16" xfId="0" applyNumberFormat="1" applyFont="1" applyFill="1" applyBorder="1" applyAlignment="1" applyProtection="1">
      <alignment horizontal="right" vertical="center"/>
      <protection hidden="1"/>
    </xf>
    <xf numFmtId="165" fontId="6" fillId="2" borderId="17" xfId="0" applyNumberFormat="1" applyFont="1" applyFill="1" applyBorder="1" applyAlignment="1" applyProtection="1">
      <alignment vertical="center"/>
      <protection hidden="1"/>
    </xf>
    <xf numFmtId="164" fontId="13" fillId="2" borderId="2" xfId="0" applyNumberFormat="1" applyFont="1" applyFill="1" applyBorder="1" applyAlignment="1" applyProtection="1">
      <alignment horizontal="right" vertical="center"/>
      <protection hidden="1"/>
    </xf>
    <xf numFmtId="165" fontId="6" fillId="2" borderId="11" xfId="0" applyNumberFormat="1" applyFont="1" applyFill="1" applyBorder="1" applyAlignment="1" applyProtection="1">
      <alignment horizontal="left" vertical="center"/>
      <protection hidden="1"/>
    </xf>
    <xf numFmtId="2" fontId="6" fillId="2" borderId="1" xfId="0" applyNumberFormat="1" applyFont="1" applyFill="1" applyBorder="1" applyAlignment="1" applyProtection="1">
      <alignment horizontal="right" vertical="center"/>
      <protection hidden="1"/>
    </xf>
    <xf numFmtId="165" fontId="6" fillId="2" borderId="11" xfId="0" applyNumberFormat="1" applyFont="1" applyFill="1" applyBorder="1" applyAlignment="1" applyProtection="1">
      <alignment vertical="center"/>
      <protection hidden="1"/>
    </xf>
    <xf numFmtId="165" fontId="13" fillId="2" borderId="6" xfId="0" applyNumberFormat="1" applyFont="1" applyFill="1" applyBorder="1" applyAlignment="1" applyProtection="1">
      <alignment horizontal="right" vertical="center"/>
      <protection hidden="1"/>
    </xf>
    <xf numFmtId="165" fontId="6" fillId="2" borderId="8" xfId="0" applyNumberFormat="1" applyFont="1" applyFill="1" applyBorder="1" applyAlignment="1" applyProtection="1">
      <alignment horizontal="left" vertical="center"/>
      <protection hidden="1"/>
    </xf>
    <xf numFmtId="2" fontId="6" fillId="2" borderId="7" xfId="0" applyNumberFormat="1" applyFont="1" applyFill="1" applyBorder="1" applyAlignment="1" applyProtection="1">
      <alignment horizontal="right" vertical="center"/>
      <protection hidden="1"/>
    </xf>
    <xf numFmtId="165" fontId="6" fillId="2" borderId="8" xfId="0" applyNumberFormat="1" applyFont="1" applyFill="1" applyBorder="1" applyAlignment="1" applyProtection="1">
      <alignment vertical="center"/>
      <protection hidden="1"/>
    </xf>
    <xf numFmtId="0" fontId="19" fillId="2" borderId="9" xfId="0" applyFont="1" applyFill="1" applyBorder="1" applyAlignment="1" applyProtection="1">
      <alignment vertical="center"/>
      <protection hidden="1"/>
    </xf>
    <xf numFmtId="167" fontId="6" fillId="0" borderId="0" xfId="0" applyNumberFormat="1" applyFont="1" applyAlignment="1">
      <alignment vertical="center"/>
    </xf>
    <xf numFmtId="0" fontId="16" fillId="2" borderId="7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left" wrapText="1"/>
      <protection hidden="1"/>
    </xf>
    <xf numFmtId="0" fontId="2" fillId="0" borderId="0" xfId="0" applyFont="1" applyProtection="1">
      <protection hidden="1"/>
    </xf>
    <xf numFmtId="164" fontId="4" fillId="0" borderId="0" xfId="0" applyNumberFormat="1" applyFont="1" applyAlignment="1" applyProtection="1">
      <alignment horizontal="center"/>
      <protection hidden="1"/>
    </xf>
    <xf numFmtId="165" fontId="4" fillId="0" borderId="0" xfId="0" applyNumberFormat="1" applyFont="1" applyAlignment="1" applyProtection="1">
      <alignment horizontal="center"/>
      <protection hidden="1"/>
    </xf>
    <xf numFmtId="165" fontId="23" fillId="0" borderId="0" xfId="0" applyNumberFormat="1" applyFont="1" applyAlignment="1" applyProtection="1">
      <alignment horizontal="center"/>
      <protection hidden="1"/>
    </xf>
    <xf numFmtId="0" fontId="4" fillId="0" borderId="0" xfId="0" applyFont="1"/>
    <xf numFmtId="0" fontId="23" fillId="0" borderId="0" xfId="0" applyFont="1"/>
    <xf numFmtId="164" fontId="23" fillId="0" borderId="0" xfId="0" applyNumberFormat="1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165" fontId="4" fillId="0" borderId="0" xfId="0" applyNumberFormat="1" applyFont="1" applyProtection="1">
      <protection hidden="1"/>
    </xf>
    <xf numFmtId="0" fontId="2" fillId="0" borderId="0" xfId="0" applyFont="1" applyAlignment="1" applyProtection="1">
      <alignment horizontal="center" wrapText="1"/>
      <protection hidden="1"/>
    </xf>
    <xf numFmtId="0" fontId="25" fillId="2" borderId="7" xfId="0" applyFont="1" applyFill="1" applyBorder="1" applyAlignment="1" applyProtection="1">
      <alignment vertical="center"/>
      <protection hidden="1"/>
    </xf>
    <xf numFmtId="165" fontId="25" fillId="2" borderId="8" xfId="0" applyNumberFormat="1" applyFont="1" applyFill="1" applyBorder="1" applyAlignment="1" applyProtection="1">
      <alignment vertical="center"/>
      <protection hidden="1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8" fillId="2" borderId="3" xfId="0" applyFont="1" applyFill="1" applyBorder="1" applyAlignment="1" applyProtection="1">
      <alignment vertical="center"/>
      <protection hidden="1"/>
    </xf>
    <xf numFmtId="0" fontId="18" fillId="2" borderId="4" xfId="0" applyFont="1" applyFill="1" applyBorder="1" applyAlignment="1" applyProtection="1">
      <alignment vertical="center"/>
      <protection hidden="1"/>
    </xf>
    <xf numFmtId="0" fontId="18" fillId="2" borderId="9" xfId="0" applyFont="1" applyFill="1" applyBorder="1" applyAlignment="1" applyProtection="1">
      <alignment vertical="center"/>
      <protection hidden="1"/>
    </xf>
    <xf numFmtId="0" fontId="16" fillId="2" borderId="8" xfId="0" applyFont="1" applyFill="1" applyBorder="1" applyAlignment="1" applyProtection="1">
      <alignment vertical="center"/>
      <protection hidden="1"/>
    </xf>
    <xf numFmtId="0" fontId="6" fillId="2" borderId="3" xfId="0" applyFont="1" applyFill="1" applyBorder="1" applyAlignment="1" applyProtection="1">
      <alignment vertical="center"/>
      <protection hidden="1"/>
    </xf>
    <xf numFmtId="0" fontId="6" fillId="2" borderId="4" xfId="0" applyFont="1" applyFill="1" applyBorder="1" applyAlignment="1" applyProtection="1">
      <alignment vertical="center"/>
      <protection hidden="1"/>
    </xf>
    <xf numFmtId="0" fontId="6" fillId="2" borderId="5" xfId="0" applyFont="1" applyFill="1" applyBorder="1" applyAlignment="1" applyProtection="1">
      <alignment vertical="center"/>
      <protection hidden="1"/>
    </xf>
    <xf numFmtId="0" fontId="6" fillId="2" borderId="9" xfId="0" applyFont="1" applyFill="1" applyBorder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6" fillId="2" borderId="10" xfId="0" applyFont="1" applyFill="1" applyBorder="1" applyAlignment="1" applyProtection="1">
      <alignment vertical="center"/>
      <protection hidden="1"/>
    </xf>
    <xf numFmtId="0" fontId="6" fillId="2" borderId="9" xfId="0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10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2" borderId="8" xfId="0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6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vertical="center"/>
      <protection hidden="1"/>
    </xf>
    <xf numFmtId="0" fontId="26" fillId="2" borderId="0" xfId="0" applyFont="1" applyFill="1" applyAlignment="1" applyProtection="1">
      <alignment vertical="center"/>
      <protection hidden="1"/>
    </xf>
    <xf numFmtId="0" fontId="25" fillId="2" borderId="0" xfId="0" applyFont="1" applyFill="1" applyAlignment="1" applyProtection="1">
      <alignment vertical="center"/>
      <protection hidden="1"/>
    </xf>
    <xf numFmtId="0" fontId="6" fillId="2" borderId="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2" fillId="0" borderId="9" xfId="0" applyFont="1" applyBorder="1" applyAlignment="1" applyProtection="1">
      <alignment horizontal="center"/>
      <protection hidden="1"/>
    </xf>
    <xf numFmtId="0" fontId="0" fillId="0" borderId="9" xfId="0" applyBorder="1"/>
    <xf numFmtId="165" fontId="4" fillId="0" borderId="9" xfId="0" applyNumberFormat="1" applyFont="1" applyBorder="1" applyAlignment="1" applyProtection="1">
      <alignment horizontal="center"/>
      <protection hidden="1"/>
    </xf>
    <xf numFmtId="164" fontId="4" fillId="0" borderId="10" xfId="0" applyNumberFormat="1" applyFont="1" applyBorder="1" applyAlignment="1" applyProtection="1">
      <alignment horizontal="center"/>
      <protection hidden="1"/>
    </xf>
    <xf numFmtId="0" fontId="0" fillId="0" borderId="10" xfId="0" applyBorder="1"/>
    <xf numFmtId="165" fontId="4" fillId="0" borderId="10" xfId="0" applyNumberFormat="1" applyFont="1" applyBorder="1" applyAlignment="1" applyProtection="1">
      <alignment horizontal="center"/>
      <protection hidden="1"/>
    </xf>
    <xf numFmtId="0" fontId="4" fillId="0" borderId="9" xfId="0" applyFont="1" applyBorder="1" applyAlignment="1">
      <alignment horizontal="center"/>
    </xf>
    <xf numFmtId="164" fontId="4" fillId="0" borderId="10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165" fontId="4" fillId="4" borderId="9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left" wrapText="1"/>
      <protection hidden="1"/>
    </xf>
    <xf numFmtId="0" fontId="19" fillId="2" borderId="14" xfId="0" applyFont="1" applyFill="1" applyBorder="1" applyAlignment="1" applyProtection="1">
      <alignment horizontal="center" vertical="center"/>
      <protection hidden="1"/>
    </xf>
    <xf numFmtId="0" fontId="19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165" fontId="30" fillId="3" borderId="3" xfId="0" applyNumberFormat="1" applyFont="1" applyFill="1" applyBorder="1" applyAlignment="1">
      <alignment horizontal="center" vertical="center"/>
    </xf>
    <xf numFmtId="165" fontId="30" fillId="3" borderId="5" xfId="0" applyNumberFormat="1" applyFont="1" applyFill="1" applyBorder="1" applyAlignment="1">
      <alignment horizontal="center" vertical="center"/>
    </xf>
    <xf numFmtId="165" fontId="30" fillId="3" borderId="6" xfId="0" applyNumberFormat="1" applyFont="1" applyFill="1" applyBorder="1" applyAlignment="1">
      <alignment horizontal="center" vertical="center"/>
    </xf>
    <xf numFmtId="165" fontId="30" fillId="3" borderId="8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 applyProtection="1">
      <alignment horizontal="right" vertical="center"/>
      <protection hidden="1"/>
    </xf>
    <xf numFmtId="0" fontId="5" fillId="2" borderId="8" xfId="0" applyFont="1" applyFill="1" applyBorder="1" applyAlignment="1" applyProtection="1">
      <alignment horizontal="right" vertical="center"/>
      <protection hidden="1"/>
    </xf>
    <xf numFmtId="165" fontId="7" fillId="3" borderId="6" xfId="0" applyNumberFormat="1" applyFont="1" applyFill="1" applyBorder="1" applyAlignment="1">
      <alignment horizontal="left" vertical="center"/>
    </xf>
    <xf numFmtId="165" fontId="7" fillId="3" borderId="8" xfId="0" applyNumberFormat="1" applyFont="1" applyFill="1" applyBorder="1" applyAlignment="1">
      <alignment horizontal="left" vertical="center"/>
    </xf>
    <xf numFmtId="0" fontId="19" fillId="0" borderId="4" xfId="0" applyFont="1" applyBorder="1" applyAlignment="1" applyProtection="1">
      <alignment horizontal="center" vertical="center" wrapText="1"/>
      <protection hidden="1"/>
    </xf>
    <xf numFmtId="0" fontId="19" fillId="0" borderId="7" xfId="0" applyFont="1" applyBorder="1" applyAlignment="1" applyProtection="1">
      <alignment horizontal="center" vertical="center" wrapText="1"/>
      <protection hidden="1"/>
    </xf>
    <xf numFmtId="0" fontId="19" fillId="2" borderId="6" xfId="0" applyFont="1" applyFill="1" applyBorder="1" applyAlignment="1" applyProtection="1">
      <alignment horizontal="right" vertical="center"/>
      <protection hidden="1"/>
    </xf>
    <xf numFmtId="0" fontId="19" fillId="2" borderId="8" xfId="0" applyFont="1" applyFill="1" applyBorder="1" applyAlignment="1" applyProtection="1">
      <alignment horizontal="right" vertical="center"/>
      <protection hidden="1"/>
    </xf>
    <xf numFmtId="18" fontId="13" fillId="2" borderId="6" xfId="0" applyNumberFormat="1" applyFont="1" applyFill="1" applyBorder="1" applyAlignment="1" applyProtection="1">
      <alignment horizontal="left" vertical="center"/>
      <protection hidden="1"/>
    </xf>
    <xf numFmtId="18" fontId="13" fillId="2" borderId="8" xfId="0" applyNumberFormat="1" applyFont="1" applyFill="1" applyBorder="1" applyAlignment="1" applyProtection="1">
      <alignment horizontal="left" vertical="center"/>
      <protection hidden="1"/>
    </xf>
    <xf numFmtId="0" fontId="5" fillId="0" borderId="14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19" fillId="0" borderId="4" xfId="0" applyFont="1" applyBorder="1" applyAlignment="1" applyProtection="1">
      <alignment horizontal="center" vertical="center"/>
      <protection hidden="1"/>
    </xf>
    <xf numFmtId="0" fontId="19" fillId="0" borderId="7" xfId="0" applyFont="1" applyBorder="1" applyAlignment="1" applyProtection="1">
      <alignment horizontal="center" vertical="center"/>
      <protection hidden="1"/>
    </xf>
    <xf numFmtId="0" fontId="5" fillId="0" borderId="4" xfId="0" applyFont="1" applyBorder="1" applyAlignment="1" applyProtection="1">
      <alignment horizontal="center" vertical="center" wrapText="1"/>
      <protection hidden="1"/>
    </xf>
    <xf numFmtId="0" fontId="5" fillId="0" borderId="7" xfId="0" applyFont="1" applyBorder="1" applyAlignment="1" applyProtection="1">
      <alignment horizontal="center" vertical="center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 wrapText="1"/>
      <protection hidden="1"/>
    </xf>
    <xf numFmtId="0" fontId="19" fillId="0" borderId="3" xfId="0" applyFont="1" applyBorder="1" applyAlignment="1" applyProtection="1">
      <alignment horizontal="center" vertical="center"/>
      <protection hidden="1"/>
    </xf>
    <xf numFmtId="0" fontId="19" fillId="0" borderId="6" xfId="0" applyFont="1" applyBorder="1" applyAlignment="1" applyProtection="1">
      <alignment horizontal="center" vertical="center"/>
      <protection hidden="1"/>
    </xf>
    <xf numFmtId="165" fontId="11" fillId="0" borderId="4" xfId="0" applyNumberFormat="1" applyFont="1" applyBorder="1" applyAlignment="1" applyProtection="1">
      <alignment horizontal="center" vertical="center"/>
      <protection hidden="1"/>
    </xf>
    <xf numFmtId="165" fontId="11" fillId="0" borderId="7" xfId="0" applyNumberFormat="1" applyFont="1" applyBorder="1" applyAlignment="1" applyProtection="1">
      <alignment horizontal="center" vertical="center"/>
      <protection hidden="1"/>
    </xf>
    <xf numFmtId="165" fontId="5" fillId="0" borderId="4" xfId="0" applyNumberFormat="1" applyFont="1" applyBorder="1" applyAlignment="1" applyProtection="1">
      <alignment horizontal="center" vertical="center"/>
      <protection hidden="1"/>
    </xf>
    <xf numFmtId="165" fontId="5" fillId="0" borderId="7" xfId="0" applyNumberFormat="1" applyFont="1" applyBorder="1" applyAlignment="1" applyProtection="1">
      <alignment horizontal="center" vertical="center"/>
      <protection hidden="1"/>
    </xf>
    <xf numFmtId="165" fontId="5" fillId="0" borderId="5" xfId="0" applyNumberFormat="1" applyFont="1" applyBorder="1" applyAlignment="1" applyProtection="1">
      <alignment horizontal="center" vertical="center"/>
      <protection hidden="1"/>
    </xf>
    <xf numFmtId="165" fontId="5" fillId="0" borderId="8" xfId="0" applyNumberFormat="1" applyFont="1" applyBorder="1" applyAlignment="1" applyProtection="1">
      <alignment horizontal="center" vertical="center"/>
      <protection hidden="1"/>
    </xf>
    <xf numFmtId="0" fontId="19" fillId="0" borderId="3" xfId="0" applyFont="1" applyBorder="1" applyAlignment="1" applyProtection="1">
      <alignment horizontal="center" vertical="center" wrapText="1"/>
      <protection hidden="1"/>
    </xf>
    <xf numFmtId="0" fontId="19" fillId="0" borderId="6" xfId="0" applyFont="1" applyBorder="1" applyAlignment="1" applyProtection="1">
      <alignment horizontal="center" vertical="center" wrapText="1"/>
      <protection hidden="1"/>
    </xf>
    <xf numFmtId="165" fontId="5" fillId="2" borderId="14" xfId="0" applyNumberFormat="1" applyFont="1" applyFill="1" applyBorder="1" applyAlignment="1" applyProtection="1">
      <alignment horizontal="center" vertical="center"/>
      <protection hidden="1"/>
    </xf>
    <xf numFmtId="165" fontId="5" fillId="2" borderId="12" xfId="0" applyNumberFormat="1" applyFont="1" applyFill="1" applyBorder="1" applyAlignment="1" applyProtection="1">
      <alignment horizontal="center" vertical="center"/>
      <protection hidden="1"/>
    </xf>
    <xf numFmtId="165" fontId="5" fillId="2" borderId="13" xfId="0" applyNumberFormat="1" applyFont="1" applyFill="1" applyBorder="1" applyAlignment="1" applyProtection="1">
      <alignment horizontal="center" vertical="center"/>
      <protection hidden="1"/>
    </xf>
    <xf numFmtId="165" fontId="5" fillId="2" borderId="15" xfId="0" applyNumberFormat="1" applyFont="1" applyFill="1" applyBorder="1" applyAlignment="1" applyProtection="1">
      <alignment horizontal="left" vertical="center"/>
      <protection hidden="1"/>
    </xf>
    <xf numFmtId="165" fontId="5" fillId="2" borderId="17" xfId="0" applyNumberFormat="1" applyFont="1" applyFill="1" applyBorder="1" applyAlignment="1" applyProtection="1">
      <alignment horizontal="left" vertical="center"/>
      <protection hidden="1"/>
    </xf>
    <xf numFmtId="165" fontId="5" fillId="2" borderId="2" xfId="0" applyNumberFormat="1" applyFont="1" applyFill="1" applyBorder="1" applyAlignment="1" applyProtection="1">
      <alignment horizontal="left" vertical="center"/>
      <protection hidden="1"/>
    </xf>
    <xf numFmtId="165" fontId="5" fillId="2" borderId="11" xfId="0" applyNumberFormat="1" applyFont="1" applyFill="1" applyBorder="1" applyAlignment="1" applyProtection="1">
      <alignment horizontal="left" vertical="center"/>
      <protection hidden="1"/>
    </xf>
    <xf numFmtId="165" fontId="5" fillId="2" borderId="6" xfId="0" applyNumberFormat="1" applyFont="1" applyFill="1" applyBorder="1" applyAlignment="1" applyProtection="1">
      <alignment horizontal="left" vertical="center"/>
      <protection hidden="1"/>
    </xf>
    <xf numFmtId="165" fontId="5" fillId="2" borderId="8" xfId="0" applyNumberFormat="1" applyFont="1" applyFill="1" applyBorder="1" applyAlignment="1" applyProtection="1">
      <alignment horizontal="left" vertical="center"/>
      <protection hidden="1"/>
    </xf>
    <xf numFmtId="165" fontId="5" fillId="0" borderId="4" xfId="0" applyNumberFormat="1" applyFont="1" applyBorder="1" applyAlignment="1" applyProtection="1">
      <alignment horizontal="center" vertical="center" wrapText="1"/>
      <protection hidden="1"/>
    </xf>
    <xf numFmtId="165" fontId="5" fillId="0" borderId="7" xfId="0" applyNumberFormat="1" applyFont="1" applyBorder="1" applyAlignment="1" applyProtection="1">
      <alignment horizontal="center" vertical="center" wrapText="1"/>
      <protection hidden="1"/>
    </xf>
    <xf numFmtId="0" fontId="11" fillId="0" borderId="4" xfId="0" applyFont="1" applyBorder="1" applyAlignment="1" applyProtection="1">
      <alignment horizontal="center" vertical="center" wrapText="1"/>
      <protection hidden="1"/>
    </xf>
    <xf numFmtId="0" fontId="11" fillId="0" borderId="7" xfId="0" applyFont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9" fillId="2" borderId="2" xfId="0" applyFont="1" applyFill="1" applyBorder="1" applyAlignment="1" applyProtection="1">
      <alignment horizontal="right" vertical="center"/>
      <protection hidden="1"/>
    </xf>
    <xf numFmtId="0" fontId="19" fillId="2" borderId="11" xfId="0" applyFont="1" applyFill="1" applyBorder="1" applyAlignment="1" applyProtection="1">
      <alignment horizontal="right" vertical="center"/>
      <protection hidden="1"/>
    </xf>
    <xf numFmtId="0" fontId="13" fillId="2" borderId="2" xfId="0" applyFont="1" applyFill="1" applyBorder="1" applyAlignment="1" applyProtection="1">
      <alignment horizontal="left" vertical="center"/>
      <protection hidden="1"/>
    </xf>
    <xf numFmtId="0" fontId="13" fillId="2" borderId="11" xfId="0" applyFont="1" applyFill="1" applyBorder="1" applyAlignment="1" applyProtection="1">
      <alignment horizontal="left" vertical="center"/>
      <protection hidden="1"/>
    </xf>
    <xf numFmtId="167" fontId="13" fillId="2" borderId="2" xfId="0" applyNumberFormat="1" applyFont="1" applyFill="1" applyBorder="1" applyAlignment="1" applyProtection="1">
      <alignment horizontal="left" vertical="center"/>
      <protection hidden="1"/>
    </xf>
    <xf numFmtId="167" fontId="13" fillId="2" borderId="11" xfId="0" applyNumberFormat="1" applyFont="1" applyFill="1" applyBorder="1" applyAlignment="1" applyProtection="1">
      <alignment horizontal="left" vertical="center"/>
      <protection hidden="1"/>
    </xf>
    <xf numFmtId="0" fontId="18" fillId="0" borderId="4" xfId="0" applyFont="1" applyBorder="1" applyAlignment="1" applyProtection="1">
      <alignment horizontal="center" vertical="center"/>
      <protection hidden="1"/>
    </xf>
    <xf numFmtId="0" fontId="18" fillId="0" borderId="7" xfId="0" applyFont="1" applyBorder="1" applyAlignment="1" applyProtection="1">
      <alignment horizontal="center" vertical="center"/>
      <protection hidden="1"/>
    </xf>
    <xf numFmtId="0" fontId="5" fillId="2" borderId="9" xfId="0" applyFont="1" applyFill="1" applyBorder="1" applyAlignment="1" applyProtection="1">
      <alignment horizontal="right" vertical="center"/>
      <protection hidden="1"/>
    </xf>
    <xf numFmtId="0" fontId="5" fillId="2" borderId="10" xfId="0" applyFont="1" applyFill="1" applyBorder="1" applyAlignment="1" applyProtection="1">
      <alignment horizontal="right" vertical="center"/>
      <protection hidden="1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5" fontId="5" fillId="0" borderId="8" xfId="0" applyNumberFormat="1" applyFont="1" applyBorder="1" applyAlignment="1" applyProtection="1">
      <alignment horizontal="center" vertical="center" wrapText="1"/>
      <protection hidden="1"/>
    </xf>
    <xf numFmtId="165" fontId="5" fillId="2" borderId="2" xfId="0" applyNumberFormat="1" applyFont="1" applyFill="1" applyBorder="1" applyAlignment="1" applyProtection="1">
      <alignment horizontal="right" vertical="center"/>
      <protection hidden="1"/>
    </xf>
    <xf numFmtId="165" fontId="5" fillId="2" borderId="11" xfId="0" applyNumberFormat="1" applyFont="1" applyFill="1" applyBorder="1" applyAlignment="1" applyProtection="1">
      <alignment horizontal="right" vertical="center"/>
      <protection hidden="1"/>
    </xf>
    <xf numFmtId="165" fontId="5" fillId="2" borderId="6" xfId="0" applyNumberFormat="1" applyFont="1" applyFill="1" applyBorder="1" applyAlignment="1" applyProtection="1">
      <alignment horizontal="right" vertical="center"/>
      <protection hidden="1"/>
    </xf>
    <xf numFmtId="165" fontId="5" fillId="2" borderId="8" xfId="0" applyNumberFormat="1" applyFont="1" applyFill="1" applyBorder="1" applyAlignment="1" applyProtection="1">
      <alignment horizontal="right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9" fillId="0" borderId="5" xfId="0" applyFont="1" applyBorder="1" applyAlignment="1" applyProtection="1">
      <alignment horizontal="center" vertical="center" wrapText="1"/>
      <protection hidden="1"/>
    </xf>
    <xf numFmtId="0" fontId="19" fillId="0" borderId="8" xfId="0" applyFont="1" applyBorder="1" applyAlignment="1" applyProtection="1">
      <alignment horizontal="center" vertical="center" wrapText="1"/>
      <protection hidden="1"/>
    </xf>
    <xf numFmtId="0" fontId="5" fillId="0" borderId="14" xfId="0" applyFont="1" applyBorder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5" fillId="0" borderId="13" xfId="0" applyFont="1" applyBorder="1" applyAlignment="1" applyProtection="1">
      <alignment horizontal="center" vertical="center"/>
      <protection hidden="1"/>
    </xf>
    <xf numFmtId="165" fontId="7" fillId="3" borderId="9" xfId="0" applyNumberFormat="1" applyFont="1" applyFill="1" applyBorder="1" applyAlignment="1">
      <alignment horizontal="left" vertical="center"/>
    </xf>
    <xf numFmtId="165" fontId="7" fillId="3" borderId="10" xfId="0" applyNumberFormat="1" applyFont="1" applyFill="1" applyBorder="1" applyAlignment="1">
      <alignment horizontal="left" vertical="center"/>
    </xf>
    <xf numFmtId="165" fontId="5" fillId="2" borderId="15" xfId="0" applyNumberFormat="1" applyFont="1" applyFill="1" applyBorder="1" applyAlignment="1" applyProtection="1">
      <alignment horizontal="right" vertical="center"/>
      <protection hidden="1"/>
    </xf>
    <xf numFmtId="165" fontId="5" fillId="2" borderId="17" xfId="0" applyNumberFormat="1" applyFont="1" applyFill="1" applyBorder="1" applyAlignment="1" applyProtection="1">
      <alignment horizontal="right" vertical="center"/>
      <protection hidden="1"/>
    </xf>
    <xf numFmtId="0" fontId="27" fillId="2" borderId="3" xfId="0" applyFont="1" applyFill="1" applyBorder="1" applyAlignment="1">
      <alignment horizontal="center" vertical="center"/>
    </xf>
    <xf numFmtId="0" fontId="27" fillId="2" borderId="5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7" fillId="2" borderId="10" xfId="0" applyFont="1" applyFill="1" applyBorder="1" applyAlignment="1">
      <alignment horizontal="center" vertical="center"/>
    </xf>
  </cellXfs>
  <cellStyles count="8">
    <cellStyle name="Dezimal_Mappe1" xfId="1" xr:uid="{00000000-0005-0000-0000-000000000000}"/>
    <cellStyle name="Normal" xfId="0" builtinId="0"/>
    <cellStyle name="Normal 2" xfId="2" xr:uid="{00000000-0005-0000-0000-000002000000}"/>
    <cellStyle name="Normal 2 2 2" xfId="7" xr:uid="{00000000-0005-0000-0000-000003000000}"/>
    <cellStyle name="Normal 4" xfId="3" xr:uid="{00000000-0005-0000-0000-000004000000}"/>
    <cellStyle name="Normal 6 2" xfId="6" xr:uid="{00000000-0005-0000-0000-000005000000}"/>
    <cellStyle name="Percent 2" xfId="4" xr:uid="{00000000-0005-0000-0000-000007000000}"/>
    <cellStyle name="Standard_Mappe1" xfId="5" xr:uid="{00000000-0005-0000-0000-000008000000}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1F3AF.5A48294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285758</xdr:colOff>
      <xdr:row>0</xdr:row>
      <xdr:rowOff>52925</xdr:rowOff>
    </xdr:from>
    <xdr:to>
      <xdr:col>1</xdr:col>
      <xdr:colOff>2154630</xdr:colOff>
      <xdr:row>3</xdr:row>
      <xdr:rowOff>153255</xdr:rowOff>
    </xdr:to>
    <xdr:pic>
      <xdr:nvPicPr>
        <xdr:cNvPr id="15" name="Ford Logo" descr="Ford%20Logo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229" b="16148"/>
        <a:stretch>
          <a:fillRect/>
        </a:stretch>
      </xdr:blipFill>
      <xdr:spPr bwMode="auto">
        <a:xfrm>
          <a:off x="719675" y="52925"/>
          <a:ext cx="1880302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4</xdr:row>
          <xdr:rowOff>19050</xdr:rowOff>
        </xdr:from>
        <xdr:to>
          <xdr:col>1</xdr:col>
          <xdr:colOff>1924050</xdr:colOff>
          <xdr:row>6</xdr:row>
          <xdr:rowOff>0</xdr:rowOff>
        </xdr:to>
        <xdr:sp macro="" textlink="">
          <xdr:nvSpPr>
            <xdr:cNvPr id="443537" name="AeroData Import D1 Button" hidden="1">
              <a:extLst>
                <a:ext uri="{63B3BB69-23CF-44E3-9099-C40C66FF867C}">
                  <a14:compatExt spid="_x0000_s443537"/>
                </a:ext>
                <a:ext uri="{FF2B5EF4-FFF2-40B4-BE49-F238E27FC236}">
                  <a16:creationId xmlns:a16="http://schemas.microsoft.com/office/drawing/2014/main" id="{00000000-0008-0000-0000-000091C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Import csv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88900</xdr:rowOff>
        </xdr:from>
        <xdr:to>
          <xdr:col>10</xdr:col>
          <xdr:colOff>476250</xdr:colOff>
          <xdr:row>4</xdr:row>
          <xdr:rowOff>76200</xdr:rowOff>
        </xdr:to>
        <xdr:sp macro="" textlink="">
          <xdr:nvSpPr>
            <xdr:cNvPr id="443681" name="AeroData Copy Log Sheet Button" hidden="1">
              <a:extLst>
                <a:ext uri="{63B3BB69-23CF-44E3-9099-C40C66FF867C}">
                  <a14:compatExt spid="_x0000_s443681"/>
                </a:ext>
                <a:ext uri="{FF2B5EF4-FFF2-40B4-BE49-F238E27FC236}">
                  <a16:creationId xmlns:a16="http://schemas.microsoft.com/office/drawing/2014/main" id="{00000000-0008-0000-0000-000021C5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Copy Log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0</xdr:row>
          <xdr:rowOff>69850</xdr:rowOff>
        </xdr:from>
        <xdr:to>
          <xdr:col>10</xdr:col>
          <xdr:colOff>476250</xdr:colOff>
          <xdr:row>2</xdr:row>
          <xdr:rowOff>50800</xdr:rowOff>
        </xdr:to>
        <xdr:sp macro="" textlink="">
          <xdr:nvSpPr>
            <xdr:cNvPr id="443692" name="AeroData Clear Print Area Button" hidden="1">
              <a:extLst>
                <a:ext uri="{63B3BB69-23CF-44E3-9099-C40C66FF867C}">
                  <a14:compatExt spid="_x0000_s443692"/>
                </a:ext>
                <a:ext uri="{FF2B5EF4-FFF2-40B4-BE49-F238E27FC236}">
                  <a16:creationId xmlns:a16="http://schemas.microsoft.com/office/drawing/2014/main" id="{00000000-0008-0000-0000-00002CC5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 Print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171450</xdr:colOff>
          <xdr:row>3</xdr:row>
          <xdr:rowOff>95250</xdr:rowOff>
        </xdr:from>
        <xdr:to>
          <xdr:col>45</xdr:col>
          <xdr:colOff>381000</xdr:colOff>
          <xdr:row>5</xdr:row>
          <xdr:rowOff>88900</xdr:rowOff>
        </xdr:to>
        <xdr:sp macro="" textlink="">
          <xdr:nvSpPr>
            <xdr:cNvPr id="443911" name="Print LogSheet Button" hidden="1">
              <a:extLst>
                <a:ext uri="{63B3BB69-23CF-44E3-9099-C40C66FF867C}">
                  <a14:compatExt spid="_x0000_s443911"/>
                </a:ext>
                <a:ext uri="{FF2B5EF4-FFF2-40B4-BE49-F238E27FC236}">
                  <a16:creationId xmlns:a16="http://schemas.microsoft.com/office/drawing/2014/main" id="{00000000-0008-0000-0000-000007C6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Print Diag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171450</xdr:colOff>
          <xdr:row>1</xdr:row>
          <xdr:rowOff>76200</xdr:rowOff>
        </xdr:from>
        <xdr:to>
          <xdr:col>45</xdr:col>
          <xdr:colOff>381000</xdr:colOff>
          <xdr:row>3</xdr:row>
          <xdr:rowOff>57150</xdr:rowOff>
        </xdr:to>
        <xdr:sp macro="" textlink="">
          <xdr:nvSpPr>
            <xdr:cNvPr id="443912" name="Button 520" hidden="1">
              <a:extLst>
                <a:ext uri="{63B3BB69-23CF-44E3-9099-C40C66FF867C}">
                  <a14:compatExt spid="_x0000_s443912"/>
                </a:ext>
                <a:ext uri="{FF2B5EF4-FFF2-40B4-BE49-F238E27FC236}">
                  <a16:creationId xmlns:a16="http://schemas.microsoft.com/office/drawing/2014/main" id="{00000000-0008-0000-0000-000008C6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 Print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114300</xdr:rowOff>
        </xdr:from>
        <xdr:to>
          <xdr:col>10</xdr:col>
          <xdr:colOff>476250</xdr:colOff>
          <xdr:row>6</xdr:row>
          <xdr:rowOff>107950</xdr:rowOff>
        </xdr:to>
        <xdr:sp macro="" textlink="">
          <xdr:nvSpPr>
            <xdr:cNvPr id="443913" name="AeroData Print Log Sheet Button" hidden="1">
              <a:extLst>
                <a:ext uri="{63B3BB69-23CF-44E3-9099-C40C66FF867C}">
                  <a14:compatExt spid="_x0000_s443913"/>
                </a:ext>
                <a:ext uri="{FF2B5EF4-FFF2-40B4-BE49-F238E27FC236}">
                  <a16:creationId xmlns:a16="http://schemas.microsoft.com/office/drawing/2014/main" id="{00000000-0008-0000-0000-000009C6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Print Log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503"/>
  <sheetViews>
    <sheetView tabSelected="1" zoomScale="63" zoomScaleNormal="200" zoomScaleSheetLayoutView="75" workbookViewId="0">
      <pane ySplit="11" topLeftCell="A44" activePane="bottomLeft" state="frozen"/>
      <selection pane="bottomLeft" activeCell="D67" sqref="D67"/>
    </sheetView>
  </sheetViews>
  <sheetFormatPr defaultColWidth="9.1796875" defaultRowHeight="12.5"/>
  <cols>
    <col min="1" max="1" width="6.54296875" style="19" customWidth="1"/>
    <col min="2" max="2" width="42.08984375" style="30" customWidth="1"/>
    <col min="3" max="4" width="5.7265625" style="21" customWidth="1"/>
    <col min="5" max="9" width="8" style="28" customWidth="1"/>
    <col min="10" max="10" width="4.7265625" style="28" customWidth="1"/>
    <col min="11" max="11" width="8" style="29" customWidth="1"/>
    <col min="12" max="12" width="4.7265625" style="28" customWidth="1"/>
    <col min="13" max="13" width="8" style="29" customWidth="1"/>
    <col min="14" max="14" width="4.7265625" style="28" customWidth="1"/>
    <col min="15" max="15" width="8" style="29" customWidth="1"/>
    <col min="16" max="16" width="4.7265625" style="28" customWidth="1"/>
    <col min="17" max="24" width="8" style="29" customWidth="1"/>
    <col min="25" max="37" width="8" style="25" customWidth="1"/>
    <col min="38" max="38" width="8" style="33" customWidth="1"/>
    <col min="39" max="39" width="36" style="64" customWidth="1"/>
    <col min="40" max="65" width="8" style="33" customWidth="1"/>
    <col min="66" max="67" width="8" style="25" customWidth="1"/>
    <col min="68" max="119" width="7.81640625" style="25" customWidth="1"/>
    <col min="120" max="120" width="9.1796875" style="25"/>
    <col min="121" max="137" width="7.81640625" style="25" customWidth="1"/>
    <col min="138" max="138" width="9.54296875" style="25" bestFit="1" customWidth="1"/>
    <col min="139" max="16384" width="9.1796875" style="25"/>
  </cols>
  <sheetData>
    <row r="1" spans="1:65" s="1" customFormat="1" ht="14.25" customHeight="1" thickBot="1">
      <c r="A1" s="36"/>
      <c r="B1" s="37"/>
      <c r="C1" s="37"/>
      <c r="D1" s="37"/>
      <c r="E1" s="78" t="s">
        <v>36</v>
      </c>
      <c r="F1" s="79"/>
      <c r="G1" s="79"/>
      <c r="H1" s="80"/>
      <c r="I1" s="40"/>
      <c r="J1" s="41"/>
      <c r="K1" s="42"/>
      <c r="L1" s="78" t="s">
        <v>21</v>
      </c>
      <c r="M1" s="79"/>
      <c r="N1" s="79"/>
      <c r="O1" s="80"/>
      <c r="P1" s="49"/>
      <c r="Q1" s="54"/>
      <c r="R1" s="50"/>
      <c r="S1" s="114" t="s">
        <v>20</v>
      </c>
      <c r="T1" s="115"/>
      <c r="U1" s="115"/>
      <c r="V1" s="115"/>
      <c r="W1" s="115"/>
      <c r="X1" s="116"/>
      <c r="AL1" s="156" t="s">
        <v>57</v>
      </c>
      <c r="AM1" s="157"/>
      <c r="AN1" s="78" t="s">
        <v>21</v>
      </c>
      <c r="AO1" s="79"/>
      <c r="AP1" s="79"/>
      <c r="AQ1" s="80"/>
      <c r="AR1" s="49"/>
      <c r="AS1" s="54"/>
      <c r="AT1" s="50"/>
      <c r="AU1" s="114" t="s">
        <v>20</v>
      </c>
      <c r="AV1" s="115"/>
      <c r="AW1" s="115"/>
      <c r="AX1" s="115"/>
      <c r="AY1" s="115"/>
      <c r="AZ1" s="116"/>
      <c r="BA1" s="49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0"/>
    </row>
    <row r="2" spans="1:65" s="1" customFormat="1" ht="14.25" customHeight="1" thickBot="1">
      <c r="A2" s="38"/>
      <c r="B2" s="3"/>
      <c r="C2" s="76" t="s">
        <v>13</v>
      </c>
      <c r="D2" s="77"/>
      <c r="E2" s="78" t="s">
        <v>61</v>
      </c>
      <c r="F2" s="79"/>
      <c r="G2" s="79"/>
      <c r="H2" s="80"/>
      <c r="I2" s="43"/>
      <c r="J2" s="44"/>
      <c r="K2" s="45"/>
      <c r="L2" s="129" t="s">
        <v>10</v>
      </c>
      <c r="M2" s="130"/>
      <c r="N2" s="131" t="s">
        <v>77</v>
      </c>
      <c r="O2" s="132"/>
      <c r="P2" s="46"/>
      <c r="Q2" s="47"/>
      <c r="R2" s="48"/>
      <c r="S2" s="154" t="s">
        <v>4</v>
      </c>
      <c r="T2" s="155"/>
      <c r="U2" s="4">
        <v>1530</v>
      </c>
      <c r="V2" s="5" t="s">
        <v>16</v>
      </c>
      <c r="W2" s="6">
        <v>60.236220472440948</v>
      </c>
      <c r="X2" s="7" t="s">
        <v>11</v>
      </c>
      <c r="AL2" s="158"/>
      <c r="AM2" s="159"/>
      <c r="AN2" s="129" t="s">
        <v>10</v>
      </c>
      <c r="AO2" s="130"/>
      <c r="AP2" s="131" t="s">
        <v>77</v>
      </c>
      <c r="AQ2" s="132"/>
      <c r="AR2" s="46"/>
      <c r="AS2" s="47"/>
      <c r="AT2" s="48"/>
      <c r="AU2" s="117" t="s">
        <v>4</v>
      </c>
      <c r="AV2" s="118"/>
      <c r="AW2" s="4">
        <v>1530</v>
      </c>
      <c r="AX2" s="5" t="s">
        <v>16</v>
      </c>
      <c r="AY2" s="6">
        <v>60.236220472440948</v>
      </c>
      <c r="AZ2" s="5" t="s">
        <v>11</v>
      </c>
      <c r="BA2" s="46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8"/>
    </row>
    <row r="3" spans="1:65" s="1" customFormat="1" ht="14.25" customHeight="1">
      <c r="A3" s="38"/>
      <c r="B3" s="3"/>
      <c r="C3" s="81"/>
      <c r="D3" s="82"/>
      <c r="E3" s="137" t="s">
        <v>60</v>
      </c>
      <c r="F3" s="138"/>
      <c r="G3" s="152"/>
      <c r="H3" s="153"/>
      <c r="I3" s="43"/>
      <c r="J3" s="44"/>
      <c r="K3" s="45"/>
      <c r="L3" s="129" t="s">
        <v>22</v>
      </c>
      <c r="M3" s="130"/>
      <c r="N3" s="131" t="e">
        <f>IF(#REF!="","",#REF!&amp;", "&amp;#REF!)</f>
        <v>#REF!</v>
      </c>
      <c r="O3" s="132"/>
      <c r="P3" s="46"/>
      <c r="Q3" s="47"/>
      <c r="R3" s="48"/>
      <c r="S3" s="141" t="s">
        <v>5</v>
      </c>
      <c r="T3" s="142"/>
      <c r="U3" s="8">
        <v>1200</v>
      </c>
      <c r="V3" s="9" t="s">
        <v>16</v>
      </c>
      <c r="W3" s="10">
        <v>47.244094488188978</v>
      </c>
      <c r="X3" s="11" t="s">
        <v>11</v>
      </c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L3" s="158"/>
      <c r="AM3" s="159"/>
      <c r="AN3" s="129" t="s">
        <v>22</v>
      </c>
      <c r="AO3" s="130"/>
      <c r="AP3" s="131" t="s">
        <v>76</v>
      </c>
      <c r="AQ3" s="132"/>
      <c r="AR3" s="46"/>
      <c r="AS3" s="47"/>
      <c r="AT3" s="48"/>
      <c r="AU3" s="119" t="s">
        <v>5</v>
      </c>
      <c r="AV3" s="120"/>
      <c r="AW3" s="8">
        <v>1200</v>
      </c>
      <c r="AX3" s="9" t="s">
        <v>16</v>
      </c>
      <c r="AY3" s="10">
        <v>47.244094488188978</v>
      </c>
      <c r="AZ3" s="9" t="s">
        <v>11</v>
      </c>
      <c r="BA3" s="46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8"/>
    </row>
    <row r="4" spans="1:65" s="1" customFormat="1" ht="14.25" customHeight="1" thickBot="1">
      <c r="A4" s="38"/>
      <c r="B4" s="3"/>
      <c r="C4" s="83"/>
      <c r="D4" s="84"/>
      <c r="E4" s="137" t="s">
        <v>62</v>
      </c>
      <c r="F4" s="138"/>
      <c r="G4" s="152"/>
      <c r="H4" s="153"/>
      <c r="I4" s="43"/>
      <c r="J4" s="44"/>
      <c r="K4" s="45"/>
      <c r="L4" s="129" t="s">
        <v>17</v>
      </c>
      <c r="M4" s="130"/>
      <c r="N4" s="131" t="s">
        <v>78</v>
      </c>
      <c r="O4" s="132"/>
      <c r="P4" s="46"/>
      <c r="Q4" s="47"/>
      <c r="R4" s="48"/>
      <c r="S4" s="141" t="s">
        <v>6</v>
      </c>
      <c r="T4" s="142"/>
      <c r="U4" s="8">
        <v>1200</v>
      </c>
      <c r="V4" s="9" t="s">
        <v>16</v>
      </c>
      <c r="W4" s="10">
        <v>47.244094488188978</v>
      </c>
      <c r="X4" s="11" t="s">
        <v>11</v>
      </c>
      <c r="AL4" s="158"/>
      <c r="AM4" s="159"/>
      <c r="AN4" s="129" t="s">
        <v>17</v>
      </c>
      <c r="AO4" s="130"/>
      <c r="AP4" s="131" t="s">
        <v>78</v>
      </c>
      <c r="AQ4" s="132"/>
      <c r="AR4" s="46"/>
      <c r="AS4" s="47"/>
      <c r="AT4" s="48"/>
      <c r="AU4" s="119" t="s">
        <v>6</v>
      </c>
      <c r="AV4" s="120"/>
      <c r="AW4" s="8">
        <v>1200</v>
      </c>
      <c r="AX4" s="9" t="s">
        <v>16</v>
      </c>
      <c r="AY4" s="10">
        <v>47.244094488188978</v>
      </c>
      <c r="AZ4" s="9" t="s">
        <v>11</v>
      </c>
      <c r="BA4" s="46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8"/>
    </row>
    <row r="5" spans="1:65" s="1" customFormat="1" ht="14.25" customHeight="1">
      <c r="A5" s="38"/>
      <c r="B5" s="3"/>
      <c r="C5" s="3"/>
      <c r="D5" s="3"/>
      <c r="E5" s="137" t="s">
        <v>14</v>
      </c>
      <c r="F5" s="138"/>
      <c r="G5" s="152"/>
      <c r="H5" s="153"/>
      <c r="I5" s="43"/>
      <c r="J5" s="44"/>
      <c r="K5" s="45"/>
      <c r="L5" s="129" t="s">
        <v>2</v>
      </c>
      <c r="M5" s="130"/>
      <c r="N5" s="133">
        <v>46136</v>
      </c>
      <c r="O5" s="134"/>
      <c r="P5" s="46"/>
      <c r="Q5" s="47"/>
      <c r="R5" s="48"/>
      <c r="S5" s="141" t="s">
        <v>7</v>
      </c>
      <c r="T5" s="142"/>
      <c r="U5" s="8">
        <v>2815</v>
      </c>
      <c r="V5" s="9" t="s">
        <v>16</v>
      </c>
      <c r="W5" s="10">
        <v>110.82677165354332</v>
      </c>
      <c r="X5" s="11" t="s">
        <v>11</v>
      </c>
      <c r="AL5" s="158"/>
      <c r="AM5" s="159"/>
      <c r="AN5" s="129" t="s">
        <v>2</v>
      </c>
      <c r="AO5" s="130"/>
      <c r="AP5" s="133">
        <v>46136</v>
      </c>
      <c r="AQ5" s="134"/>
      <c r="AR5" s="46"/>
      <c r="AS5" s="47"/>
      <c r="AT5" s="48"/>
      <c r="AU5" s="119" t="s">
        <v>7</v>
      </c>
      <c r="AV5" s="120"/>
      <c r="AW5" s="8">
        <v>2815</v>
      </c>
      <c r="AX5" s="9" t="s">
        <v>16</v>
      </c>
      <c r="AY5" s="10">
        <v>110.82677165354332</v>
      </c>
      <c r="AZ5" s="9" t="s">
        <v>11</v>
      </c>
      <c r="BA5" s="46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8"/>
    </row>
    <row r="6" spans="1:65" s="1" customFormat="1" ht="14.25" customHeight="1" thickBot="1">
      <c r="A6" s="38"/>
      <c r="B6" s="3"/>
      <c r="C6" s="3"/>
      <c r="D6" s="3"/>
      <c r="E6" s="137" t="s">
        <v>15</v>
      </c>
      <c r="F6" s="138"/>
      <c r="G6" s="152"/>
      <c r="H6" s="153"/>
      <c r="I6" s="43"/>
      <c r="J6" s="44"/>
      <c r="K6" s="45"/>
      <c r="L6" s="91" t="s">
        <v>3</v>
      </c>
      <c r="M6" s="92"/>
      <c r="N6" s="93"/>
      <c r="O6" s="94"/>
      <c r="P6" s="46"/>
      <c r="Q6" s="47"/>
      <c r="R6" s="48"/>
      <c r="S6" s="143" t="s">
        <v>8</v>
      </c>
      <c r="T6" s="144"/>
      <c r="U6" s="12">
        <v>1.03</v>
      </c>
      <c r="V6" s="13" t="s">
        <v>44</v>
      </c>
      <c r="W6" s="14">
        <v>11.086827729211013</v>
      </c>
      <c r="X6" s="15" t="s">
        <v>37</v>
      </c>
      <c r="AL6" s="158"/>
      <c r="AM6" s="159"/>
      <c r="AN6" s="91" t="s">
        <v>3</v>
      </c>
      <c r="AO6" s="92"/>
      <c r="AP6" s="93">
        <v>0.38958333333333334</v>
      </c>
      <c r="AQ6" s="94"/>
      <c r="AR6" s="46"/>
      <c r="AS6" s="47"/>
      <c r="AT6" s="48"/>
      <c r="AU6" s="121" t="s">
        <v>8</v>
      </c>
      <c r="AV6" s="122"/>
      <c r="AW6" s="12">
        <v>1.03</v>
      </c>
      <c r="AX6" s="13" t="s">
        <v>44</v>
      </c>
      <c r="AY6" s="14">
        <v>11.086827729211013</v>
      </c>
      <c r="AZ6" s="13" t="s">
        <v>37</v>
      </c>
      <c r="BA6" s="46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8"/>
    </row>
    <row r="7" spans="1:65" s="1" customFormat="1" ht="14.25" customHeight="1" thickBot="1">
      <c r="A7" s="38"/>
      <c r="B7" s="3"/>
      <c r="C7" s="3"/>
      <c r="D7" s="3"/>
      <c r="E7" s="85" t="s">
        <v>59</v>
      </c>
      <c r="F7" s="86"/>
      <c r="G7" s="87"/>
      <c r="H7" s="8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U7" s="18"/>
      <c r="V7" s="18"/>
      <c r="W7" s="18"/>
      <c r="X7" s="39"/>
      <c r="AL7" s="51"/>
      <c r="AM7" s="6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G7" s="52"/>
      <c r="BH7" s="52"/>
      <c r="BI7" s="52"/>
      <c r="BJ7" s="52"/>
      <c r="BK7" s="52"/>
      <c r="BL7" s="52"/>
      <c r="BM7" s="53"/>
    </row>
    <row r="8" spans="1:65" s="1" customFormat="1" ht="14.25" customHeight="1" thickBot="1">
      <c r="A8" s="149" t="s">
        <v>19</v>
      </c>
      <c r="B8" s="150"/>
      <c r="C8" s="150"/>
      <c r="D8" s="150"/>
      <c r="E8" s="150"/>
      <c r="F8" s="150"/>
      <c r="G8" s="150"/>
      <c r="H8" s="151"/>
      <c r="I8" s="149" t="s">
        <v>18</v>
      </c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1"/>
      <c r="V8" s="149" t="s">
        <v>12</v>
      </c>
      <c r="W8" s="150"/>
      <c r="X8" s="151"/>
      <c r="AL8" s="95" t="s">
        <v>19</v>
      </c>
      <c r="AM8" s="96"/>
      <c r="AN8" s="96"/>
      <c r="AO8" s="96"/>
      <c r="AP8" s="96"/>
      <c r="AQ8" s="96"/>
      <c r="AR8" s="96"/>
      <c r="AS8" s="96"/>
      <c r="AT8" s="97"/>
      <c r="AU8" s="95" t="s">
        <v>48</v>
      </c>
      <c r="AV8" s="97"/>
      <c r="AW8" s="95" t="s">
        <v>47</v>
      </c>
      <c r="AX8" s="96"/>
      <c r="AY8" s="96"/>
      <c r="AZ8" s="97"/>
      <c r="BA8" s="95" t="s">
        <v>50</v>
      </c>
      <c r="BB8" s="97"/>
      <c r="BC8" s="95" t="s">
        <v>56</v>
      </c>
      <c r="BD8" s="96"/>
      <c r="BE8" s="96"/>
      <c r="BF8" s="96"/>
      <c r="BG8" s="96"/>
      <c r="BH8" s="96"/>
      <c r="BI8" s="96"/>
      <c r="BJ8" s="96"/>
      <c r="BK8" s="96"/>
      <c r="BL8" s="96"/>
      <c r="BM8" s="97"/>
    </row>
    <row r="9" spans="1:65" s="1" customFormat="1" ht="14.25" hidden="1" customHeight="1" thickBot="1">
      <c r="A9" s="16"/>
      <c r="B9" s="2"/>
      <c r="C9" s="3"/>
      <c r="D9" s="59"/>
      <c r="E9" s="60">
        <v>0</v>
      </c>
      <c r="F9" s="61"/>
      <c r="G9" s="58"/>
      <c r="H9" s="6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2"/>
      <c r="AL9" s="55"/>
      <c r="AM9" s="63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7"/>
    </row>
    <row r="10" spans="1:65" s="1" customFormat="1" ht="14.25" customHeight="1">
      <c r="A10" s="104" t="s">
        <v>9</v>
      </c>
      <c r="B10" s="89" t="s">
        <v>1</v>
      </c>
      <c r="C10" s="135"/>
      <c r="D10" s="98" t="s">
        <v>0</v>
      </c>
      <c r="E10" s="100" t="s">
        <v>38</v>
      </c>
      <c r="F10" s="100" t="s">
        <v>39</v>
      </c>
      <c r="G10" s="100" t="s">
        <v>45</v>
      </c>
      <c r="H10" s="102" t="s">
        <v>40</v>
      </c>
      <c r="I10" s="127" t="s">
        <v>23</v>
      </c>
      <c r="J10" s="106" t="s">
        <v>24</v>
      </c>
      <c r="K10" s="108" t="s">
        <v>25</v>
      </c>
      <c r="L10" s="106" t="s">
        <v>26</v>
      </c>
      <c r="M10" s="108" t="s">
        <v>27</v>
      </c>
      <c r="N10" s="106" t="s">
        <v>28</v>
      </c>
      <c r="O10" s="108" t="s">
        <v>29</v>
      </c>
      <c r="P10" s="106" t="s">
        <v>30</v>
      </c>
      <c r="Q10" s="108" t="s">
        <v>42</v>
      </c>
      <c r="R10" s="108" t="s">
        <v>31</v>
      </c>
      <c r="S10" s="108" t="s">
        <v>32</v>
      </c>
      <c r="T10" s="108" t="s">
        <v>33</v>
      </c>
      <c r="U10" s="110" t="s">
        <v>34</v>
      </c>
      <c r="V10" s="145" t="s">
        <v>35</v>
      </c>
      <c r="W10" s="125" t="s">
        <v>41</v>
      </c>
      <c r="X10" s="139" t="s">
        <v>43</v>
      </c>
      <c r="AL10" s="104" t="s">
        <v>9</v>
      </c>
      <c r="AM10" s="89" t="s">
        <v>1</v>
      </c>
      <c r="AN10" s="98" t="s">
        <v>0</v>
      </c>
      <c r="AO10" s="100" t="s">
        <v>38</v>
      </c>
      <c r="AP10" s="100" t="s">
        <v>49</v>
      </c>
      <c r="AQ10" s="100" t="s">
        <v>54</v>
      </c>
      <c r="AR10" s="100" t="s">
        <v>55</v>
      </c>
      <c r="AS10" s="100" t="s">
        <v>45</v>
      </c>
      <c r="AT10" s="102" t="s">
        <v>39</v>
      </c>
      <c r="AU10" s="100" t="s">
        <v>51</v>
      </c>
      <c r="AV10" s="102" t="s">
        <v>40</v>
      </c>
      <c r="AW10" s="100" t="s">
        <v>46</v>
      </c>
      <c r="AX10" s="127" t="s">
        <v>35</v>
      </c>
      <c r="AY10" s="125" t="s">
        <v>41</v>
      </c>
      <c r="AZ10" s="123" t="s">
        <v>43</v>
      </c>
      <c r="BA10" s="112" t="s">
        <v>52</v>
      </c>
      <c r="BB10" s="89" t="s">
        <v>53</v>
      </c>
      <c r="BC10" s="112" t="s">
        <v>58</v>
      </c>
      <c r="BD10" s="89" t="s">
        <v>63</v>
      </c>
      <c r="BE10" s="89" t="s">
        <v>64</v>
      </c>
      <c r="BF10" s="89" t="s">
        <v>65</v>
      </c>
      <c r="BG10" s="89" t="s">
        <v>66</v>
      </c>
      <c r="BH10" s="89" t="s">
        <v>67</v>
      </c>
      <c r="BI10" s="89" t="s">
        <v>68</v>
      </c>
      <c r="BJ10" s="89" t="s">
        <v>72</v>
      </c>
      <c r="BK10" s="89" t="s">
        <v>69</v>
      </c>
      <c r="BL10" s="89" t="s">
        <v>70</v>
      </c>
      <c r="BM10" s="147" t="s">
        <v>71</v>
      </c>
    </row>
    <row r="11" spans="1:65" s="1" customFormat="1" ht="14.25" customHeight="1" thickBot="1">
      <c r="A11" s="105"/>
      <c r="B11" s="90"/>
      <c r="C11" s="136"/>
      <c r="D11" s="99"/>
      <c r="E11" s="101"/>
      <c r="F11" s="101"/>
      <c r="G11" s="101"/>
      <c r="H11" s="103"/>
      <c r="I11" s="128"/>
      <c r="J11" s="107"/>
      <c r="K11" s="109"/>
      <c r="L11" s="107"/>
      <c r="M11" s="109"/>
      <c r="N11" s="107"/>
      <c r="O11" s="109"/>
      <c r="P11" s="107"/>
      <c r="Q11" s="109"/>
      <c r="R11" s="109"/>
      <c r="S11" s="109"/>
      <c r="T11" s="109"/>
      <c r="U11" s="111"/>
      <c r="V11" s="146"/>
      <c r="W11" s="126"/>
      <c r="X11" s="140"/>
      <c r="AL11" s="105"/>
      <c r="AM11" s="90"/>
      <c r="AN11" s="99"/>
      <c r="AO11" s="101"/>
      <c r="AP11" s="101"/>
      <c r="AQ11" s="101"/>
      <c r="AR11" s="101"/>
      <c r="AS11" s="101"/>
      <c r="AT11" s="103"/>
      <c r="AU11" s="101"/>
      <c r="AV11" s="103"/>
      <c r="AW11" s="101"/>
      <c r="AX11" s="128"/>
      <c r="AY11" s="126"/>
      <c r="AZ11" s="124"/>
      <c r="BA11" s="113"/>
      <c r="BB11" s="90"/>
      <c r="BC11" s="113"/>
      <c r="BD11" s="90"/>
      <c r="BE11" s="90"/>
      <c r="BF11" s="90"/>
      <c r="BG11" s="90"/>
      <c r="BH11" s="90"/>
      <c r="BI11" s="90"/>
      <c r="BJ11" s="90"/>
      <c r="BK11" s="90"/>
      <c r="BL11" s="90"/>
      <c r="BM11" s="148"/>
    </row>
    <row r="12" spans="1:65" ht="12.75" customHeight="1">
      <c r="A12" s="65">
        <v>90</v>
      </c>
      <c r="B12" s="20" t="s">
        <v>79</v>
      </c>
      <c r="D12" s="19">
        <v>1</v>
      </c>
      <c r="E12" s="22">
        <v>0</v>
      </c>
      <c r="F12" s="22">
        <v>0</v>
      </c>
      <c r="G12" s="22">
        <v>0</v>
      </c>
      <c r="H12" s="68">
        <v>0.02</v>
      </c>
      <c r="I12" s="23">
        <v>-15.597</v>
      </c>
      <c r="J12" s="24"/>
      <c r="K12" s="23">
        <v>-149.023</v>
      </c>
      <c r="L12" s="24"/>
      <c r="M12" s="23">
        <v>-74.957999999999998</v>
      </c>
      <c r="N12" s="24"/>
      <c r="O12" s="23">
        <v>-74.081000000000003</v>
      </c>
      <c r="P12" s="24"/>
      <c r="Q12" s="23">
        <v>-0.87699999999999534</v>
      </c>
      <c r="R12" s="23">
        <v>-0.57899999999999996</v>
      </c>
      <c r="S12" s="23">
        <v>-1.48</v>
      </c>
      <c r="T12" s="23">
        <v>1.4450000000000001</v>
      </c>
      <c r="U12" s="23">
        <v>-0.26200000000000001</v>
      </c>
      <c r="V12" s="74">
        <v>0.1145</v>
      </c>
      <c r="W12" s="23">
        <v>13.811</v>
      </c>
      <c r="X12" s="70" t="s">
        <v>73</v>
      </c>
      <c r="AL12" s="71">
        <v>90</v>
      </c>
      <c r="AM12" s="64" t="s">
        <v>79</v>
      </c>
      <c r="AN12" s="33">
        <v>1</v>
      </c>
      <c r="AO12" s="34">
        <v>0</v>
      </c>
      <c r="AP12" s="22">
        <v>72</v>
      </c>
      <c r="AQ12" s="22">
        <v>40</v>
      </c>
      <c r="AR12" s="22">
        <v>7.95</v>
      </c>
      <c r="AS12" s="34">
        <v>0</v>
      </c>
      <c r="AT12" s="72">
        <v>0</v>
      </c>
      <c r="AU12" s="33" t="s">
        <v>74</v>
      </c>
      <c r="AV12" s="34">
        <v>0.02</v>
      </c>
      <c r="AW12" s="71">
        <v>0</v>
      </c>
      <c r="AX12" s="35">
        <v>0.1145</v>
      </c>
      <c r="AY12" s="35">
        <v>13.811</v>
      </c>
      <c r="AZ12" s="73" t="s">
        <v>73</v>
      </c>
      <c r="BA12" s="22">
        <v>0</v>
      </c>
      <c r="BB12" s="22">
        <v>0</v>
      </c>
      <c r="BC12" s="67">
        <v>1.03</v>
      </c>
      <c r="BD12" s="22">
        <v>-24.12</v>
      </c>
      <c r="BE12" s="22">
        <v>-230.5</v>
      </c>
      <c r="BF12" s="22">
        <v>-58.05</v>
      </c>
      <c r="BG12" s="22">
        <v>-57.89</v>
      </c>
      <c r="BH12" s="22">
        <v>-57.35</v>
      </c>
      <c r="BI12" s="22">
        <v>-57.2</v>
      </c>
      <c r="BJ12" s="22">
        <v>-0.89</v>
      </c>
      <c r="BK12" s="22">
        <v>-3.49</v>
      </c>
      <c r="BL12" s="22">
        <v>3.41</v>
      </c>
      <c r="BM12" s="68">
        <v>-0.62</v>
      </c>
    </row>
    <row r="13" spans="1:65">
      <c r="A13" s="66"/>
      <c r="B13"/>
      <c r="C13"/>
      <c r="D13"/>
      <c r="E13"/>
      <c r="F13"/>
      <c r="G13"/>
      <c r="H13" s="69"/>
      <c r="I13"/>
      <c r="J13"/>
      <c r="K13"/>
      <c r="L13"/>
      <c r="M13"/>
      <c r="N13"/>
      <c r="O13"/>
      <c r="P13"/>
      <c r="Q13"/>
      <c r="R13"/>
      <c r="S13"/>
      <c r="T13"/>
      <c r="U13"/>
      <c r="V13" s="66"/>
      <c r="W13"/>
      <c r="X13" s="69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66"/>
      <c r="AM13"/>
      <c r="AN13"/>
      <c r="AO13"/>
      <c r="AP13"/>
      <c r="AQ13"/>
      <c r="AR13"/>
      <c r="AS13"/>
      <c r="AT13" s="69"/>
      <c r="AU13"/>
      <c r="AV13"/>
      <c r="AW13" s="66"/>
      <c r="AX13"/>
      <c r="AY13"/>
      <c r="AZ13" s="69"/>
      <c r="BA13"/>
      <c r="BB13"/>
      <c r="BC13" s="66"/>
      <c r="BD13"/>
      <c r="BE13"/>
      <c r="BF13"/>
      <c r="BG13"/>
      <c r="BH13"/>
      <c r="BI13"/>
      <c r="BJ13"/>
      <c r="BK13"/>
      <c r="BL13"/>
      <c r="BM13" s="69"/>
    </row>
    <row r="14" spans="1:65">
      <c r="A14" s="65">
        <v>1</v>
      </c>
      <c r="B14" s="75" t="s">
        <v>85</v>
      </c>
      <c r="D14" s="19">
        <v>1</v>
      </c>
      <c r="E14" s="22">
        <v>0</v>
      </c>
      <c r="F14" s="22">
        <v>20.399999999999999</v>
      </c>
      <c r="G14" s="22">
        <v>0.8</v>
      </c>
      <c r="H14" s="68">
        <v>0.1</v>
      </c>
      <c r="I14" s="23">
        <v>1.0369999999999999</v>
      </c>
      <c r="J14" s="24"/>
      <c r="K14" s="23">
        <v>-1.6879999999999999</v>
      </c>
      <c r="L14" s="24"/>
      <c r="M14" s="23">
        <v>-0.77700000000000002</v>
      </c>
      <c r="N14" s="24"/>
      <c r="O14" s="23">
        <v>-0.90500000000000003</v>
      </c>
      <c r="P14" s="24"/>
      <c r="Q14" s="23">
        <v>0.128</v>
      </c>
      <c r="R14" s="23">
        <v>0</v>
      </c>
      <c r="S14" s="23">
        <v>0.21299999999999999</v>
      </c>
      <c r="T14" s="23">
        <v>-7.0000000000000001E-3</v>
      </c>
      <c r="U14" s="23">
        <v>-7.0000000000000001E-3</v>
      </c>
      <c r="V14" s="74">
        <v>0.7772</v>
      </c>
      <c r="W14" s="23">
        <v>-0.23099999999999987</v>
      </c>
      <c r="X14" s="70" t="s">
        <v>73</v>
      </c>
      <c r="AL14" s="71">
        <v>1</v>
      </c>
      <c r="AM14" s="75" t="s">
        <v>80</v>
      </c>
      <c r="AN14" s="33">
        <v>1</v>
      </c>
      <c r="AO14" s="34">
        <v>0</v>
      </c>
      <c r="AP14" s="22">
        <v>72.58</v>
      </c>
      <c r="AQ14" s="22">
        <v>40</v>
      </c>
      <c r="AR14" s="22">
        <v>7.58</v>
      </c>
      <c r="AS14" s="34">
        <v>0.8</v>
      </c>
      <c r="AT14" s="72">
        <v>20.399999999999999</v>
      </c>
      <c r="AU14" s="33" t="s">
        <v>75</v>
      </c>
      <c r="AV14" s="34">
        <v>0.1</v>
      </c>
      <c r="AW14" s="71">
        <v>0</v>
      </c>
      <c r="AX14" s="35">
        <v>0.7772</v>
      </c>
      <c r="AY14" s="35">
        <v>-0.23099999999999987</v>
      </c>
      <c r="AZ14" s="73" t="s">
        <v>73</v>
      </c>
      <c r="BA14" s="22">
        <v>66.33</v>
      </c>
      <c r="BB14" s="22">
        <v>30.18</v>
      </c>
      <c r="BC14" s="67">
        <v>1.03</v>
      </c>
      <c r="BD14" s="22">
        <v>40</v>
      </c>
      <c r="BE14" s="22">
        <v>-65.069999999999993</v>
      </c>
      <c r="BF14" s="22">
        <v>-15.08</v>
      </c>
      <c r="BG14" s="22">
        <v>-14.97</v>
      </c>
      <c r="BH14" s="22">
        <v>-17.57</v>
      </c>
      <c r="BI14" s="22">
        <v>-17.46</v>
      </c>
      <c r="BJ14" s="22">
        <v>0.01</v>
      </c>
      <c r="BK14" s="22">
        <v>12.52</v>
      </c>
      <c r="BL14" s="22">
        <v>-0.44</v>
      </c>
      <c r="BM14" s="68">
        <v>-0.43</v>
      </c>
    </row>
    <row r="15" spans="1:65">
      <c r="A15" s="65">
        <v>1</v>
      </c>
      <c r="B15" s="75" t="s">
        <v>85</v>
      </c>
      <c r="D15" s="19">
        <v>2</v>
      </c>
      <c r="E15" s="22">
        <v>0</v>
      </c>
      <c r="F15" s="22">
        <v>30.9</v>
      </c>
      <c r="G15" s="22">
        <v>2.1</v>
      </c>
      <c r="H15" s="68">
        <v>0.26</v>
      </c>
      <c r="I15" s="23">
        <v>1.125</v>
      </c>
      <c r="J15" s="24"/>
      <c r="K15" s="23">
        <v>-1.9219999999999999</v>
      </c>
      <c r="L15" s="24"/>
      <c r="M15" s="23">
        <v>-0.90200000000000002</v>
      </c>
      <c r="N15" s="24"/>
      <c r="O15" s="23">
        <v>-1.018</v>
      </c>
      <c r="P15" s="24"/>
      <c r="Q15" s="23">
        <v>0.11599999999999999</v>
      </c>
      <c r="R15" s="23">
        <v>-3.0000000000000001E-3</v>
      </c>
      <c r="S15" s="23">
        <v>0.192</v>
      </c>
      <c r="T15" s="23">
        <v>-8.9999999999999993E-3</v>
      </c>
      <c r="U15" s="23">
        <v>-1.6E-2</v>
      </c>
      <c r="V15" s="74">
        <v>0.89929999999999999</v>
      </c>
      <c r="W15" s="23">
        <v>-0.11299999999999999</v>
      </c>
      <c r="X15" s="70" t="s">
        <v>73</v>
      </c>
      <c r="AL15" s="71">
        <v>1</v>
      </c>
      <c r="AM15" s="75" t="s">
        <v>80</v>
      </c>
      <c r="AN15" s="33">
        <v>2</v>
      </c>
      <c r="AO15" s="34">
        <v>0</v>
      </c>
      <c r="AP15" s="22">
        <v>73.489999999999995</v>
      </c>
      <c r="AQ15" s="22">
        <v>40</v>
      </c>
      <c r="AR15" s="22">
        <v>7.4</v>
      </c>
      <c r="AS15" s="34">
        <v>2.1</v>
      </c>
      <c r="AT15" s="72">
        <v>30.9</v>
      </c>
      <c r="AU15" s="33" t="s">
        <v>75</v>
      </c>
      <c r="AV15" s="34">
        <v>0.26</v>
      </c>
      <c r="AW15" s="71">
        <v>0</v>
      </c>
      <c r="AX15" s="35">
        <v>0.89929999999999999</v>
      </c>
      <c r="AY15" s="35">
        <v>-0.11299999999999999</v>
      </c>
      <c r="AZ15" s="73" t="s">
        <v>73</v>
      </c>
      <c r="BA15" s="22">
        <v>159.16999999999999</v>
      </c>
      <c r="BB15" s="22">
        <v>48.9</v>
      </c>
      <c r="BC15" s="67">
        <v>1.03</v>
      </c>
      <c r="BD15" s="22">
        <v>115.43</v>
      </c>
      <c r="BE15" s="22">
        <v>-197.19</v>
      </c>
      <c r="BF15" s="22">
        <v>-46.62</v>
      </c>
      <c r="BG15" s="22">
        <v>-45.99</v>
      </c>
      <c r="BH15" s="22">
        <v>-52.6</v>
      </c>
      <c r="BI15" s="22">
        <v>-51.97</v>
      </c>
      <c r="BJ15" s="22">
        <v>-0.28999999999999998</v>
      </c>
      <c r="BK15" s="22">
        <v>30.02</v>
      </c>
      <c r="BL15" s="22">
        <v>-1.47</v>
      </c>
      <c r="BM15" s="68">
        <v>-2.4900000000000002</v>
      </c>
    </row>
    <row r="16" spans="1:65">
      <c r="A16" s="65">
        <v>1</v>
      </c>
      <c r="B16" s="75" t="s">
        <v>85</v>
      </c>
      <c r="D16" s="19">
        <v>3</v>
      </c>
      <c r="E16" s="22">
        <v>0</v>
      </c>
      <c r="F16" s="22">
        <v>41.2</v>
      </c>
      <c r="G16" s="22">
        <v>3.9</v>
      </c>
      <c r="H16" s="68">
        <v>0.48</v>
      </c>
      <c r="I16" s="23">
        <v>1.133</v>
      </c>
      <c r="J16" s="24"/>
      <c r="K16" s="23">
        <v>-2.012</v>
      </c>
      <c r="L16" s="24"/>
      <c r="M16" s="23">
        <v>-0.95399999999999996</v>
      </c>
      <c r="N16" s="24"/>
      <c r="O16" s="23">
        <v>-1.06</v>
      </c>
      <c r="P16" s="24"/>
      <c r="Q16" s="23">
        <v>0.10600000000000009</v>
      </c>
      <c r="R16" s="23">
        <v>-4.0000000000000001E-3</v>
      </c>
      <c r="S16" s="23">
        <v>0.17299999999999999</v>
      </c>
      <c r="T16" s="23">
        <v>-8.0000000000000002E-3</v>
      </c>
      <c r="U16" s="23">
        <v>-1.9E-2</v>
      </c>
      <c r="V16" s="74">
        <v>0.94350000000000001</v>
      </c>
      <c r="W16" s="23">
        <v>-6.4000000000000057E-2</v>
      </c>
      <c r="X16" s="70" t="s">
        <v>73</v>
      </c>
      <c r="AL16" s="71">
        <v>1</v>
      </c>
      <c r="AM16" s="75" t="s">
        <v>80</v>
      </c>
      <c r="AN16" s="33">
        <v>3</v>
      </c>
      <c r="AO16" s="34">
        <v>0</v>
      </c>
      <c r="AP16" s="22">
        <v>73.81</v>
      </c>
      <c r="AQ16" s="22">
        <v>40</v>
      </c>
      <c r="AR16" s="22">
        <v>7.44</v>
      </c>
      <c r="AS16" s="34">
        <v>3.9</v>
      </c>
      <c r="AT16" s="72">
        <v>41.2</v>
      </c>
      <c r="AU16" s="33" t="s">
        <v>75</v>
      </c>
      <c r="AV16" s="34">
        <v>0.48</v>
      </c>
      <c r="AW16" s="71">
        <v>0</v>
      </c>
      <c r="AX16" s="35">
        <v>0.94350000000000001</v>
      </c>
      <c r="AY16" s="35">
        <v>-6.4000000000000057E-2</v>
      </c>
      <c r="AZ16" s="73" t="s">
        <v>73</v>
      </c>
      <c r="BA16" s="22">
        <v>287</v>
      </c>
      <c r="BB16" s="22">
        <v>66.45</v>
      </c>
      <c r="BC16" s="67">
        <v>1.03</v>
      </c>
      <c r="BD16" s="22">
        <v>217.25</v>
      </c>
      <c r="BE16" s="22">
        <v>-385.63</v>
      </c>
      <c r="BF16" s="22">
        <v>-92.09</v>
      </c>
      <c r="BG16" s="22">
        <v>-90.66</v>
      </c>
      <c r="BH16" s="22">
        <v>-102.15</v>
      </c>
      <c r="BI16" s="22">
        <v>-100.73</v>
      </c>
      <c r="BJ16" s="22">
        <v>-0.81</v>
      </c>
      <c r="BK16" s="22">
        <v>50.52</v>
      </c>
      <c r="BL16" s="22">
        <v>-2.21</v>
      </c>
      <c r="BM16" s="68">
        <v>-5.62</v>
      </c>
    </row>
    <row r="17" spans="1:65">
      <c r="A17" s="65">
        <v>1</v>
      </c>
      <c r="B17" s="75" t="s">
        <v>85</v>
      </c>
      <c r="D17" s="19">
        <v>4</v>
      </c>
      <c r="E17" s="22">
        <v>0</v>
      </c>
      <c r="F17" s="22">
        <v>51.5</v>
      </c>
      <c r="G17" s="22">
        <v>6.2</v>
      </c>
      <c r="H17" s="68">
        <v>0.76</v>
      </c>
      <c r="I17" s="23">
        <v>1.1359999999999999</v>
      </c>
      <c r="J17" s="24"/>
      <c r="K17" s="23">
        <v>-2.109</v>
      </c>
      <c r="L17" s="24"/>
      <c r="M17" s="23">
        <v>-1.0089999999999999</v>
      </c>
      <c r="N17" s="24"/>
      <c r="O17" s="23">
        <v>-1.1040000000000001</v>
      </c>
      <c r="P17" s="24"/>
      <c r="Q17" s="23">
        <v>9.5000000000000195E-2</v>
      </c>
      <c r="R17" s="23">
        <v>-2E-3</v>
      </c>
      <c r="S17" s="23">
        <v>0.156</v>
      </c>
      <c r="T17" s="23">
        <v>-4.0000000000000001E-3</v>
      </c>
      <c r="U17" s="23">
        <v>-2.1999999999999999E-2</v>
      </c>
      <c r="V17" s="74">
        <v>0.96460000000000001</v>
      </c>
      <c r="W17" s="23">
        <v>-3.9999999999999813E-2</v>
      </c>
      <c r="X17" s="70" t="s">
        <v>73</v>
      </c>
      <c r="AL17" s="71">
        <v>1</v>
      </c>
      <c r="AM17" s="75" t="s">
        <v>80</v>
      </c>
      <c r="AN17" s="33">
        <v>4</v>
      </c>
      <c r="AO17" s="34">
        <v>0</v>
      </c>
      <c r="AP17" s="22">
        <v>74.03</v>
      </c>
      <c r="AQ17" s="22">
        <v>40</v>
      </c>
      <c r="AR17" s="22">
        <v>7.63</v>
      </c>
      <c r="AS17" s="34">
        <v>6.2</v>
      </c>
      <c r="AT17" s="72">
        <v>51.5</v>
      </c>
      <c r="AU17" s="33" t="s">
        <v>75</v>
      </c>
      <c r="AV17" s="34">
        <v>0.76</v>
      </c>
      <c r="AW17" s="71">
        <v>0</v>
      </c>
      <c r="AX17" s="35">
        <v>0.96460000000000001</v>
      </c>
      <c r="AY17" s="35">
        <v>-3.9999999999999813E-2</v>
      </c>
      <c r="AZ17" s="73" t="s">
        <v>73</v>
      </c>
      <c r="BA17" s="22">
        <v>439.67</v>
      </c>
      <c r="BB17" s="22">
        <v>82.99</v>
      </c>
      <c r="BC17" s="67">
        <v>1.03</v>
      </c>
      <c r="BD17" s="22">
        <v>347.03</v>
      </c>
      <c r="BE17" s="22">
        <v>-644.01</v>
      </c>
      <c r="BF17" s="22">
        <v>-155.03</v>
      </c>
      <c r="BG17" s="22">
        <v>-152.46</v>
      </c>
      <c r="BH17" s="22">
        <v>-169.55</v>
      </c>
      <c r="BI17" s="22">
        <v>-166.97</v>
      </c>
      <c r="BJ17" s="22">
        <v>-0.6</v>
      </c>
      <c r="BK17" s="22">
        <v>72.86</v>
      </c>
      <c r="BL17" s="22">
        <v>-1.7</v>
      </c>
      <c r="BM17" s="68">
        <v>-10.15</v>
      </c>
    </row>
    <row r="18" spans="1:65">
      <c r="A18" s="65">
        <v>1</v>
      </c>
      <c r="B18" s="75" t="s">
        <v>85</v>
      </c>
      <c r="D18" s="19">
        <v>5</v>
      </c>
      <c r="E18" s="22">
        <v>0</v>
      </c>
      <c r="F18" s="22">
        <v>61.8</v>
      </c>
      <c r="G18" s="22">
        <v>9</v>
      </c>
      <c r="H18" s="68">
        <v>1.0900000000000001</v>
      </c>
      <c r="I18" s="23">
        <v>1.123</v>
      </c>
      <c r="J18" s="24"/>
      <c r="K18" s="23">
        <v>-2.1840000000000002</v>
      </c>
      <c r="L18" s="24"/>
      <c r="M18" s="23">
        <v>-1.0589999999999999</v>
      </c>
      <c r="N18" s="24"/>
      <c r="O18" s="23">
        <v>-1.1220000000000001</v>
      </c>
      <c r="P18" s="24"/>
      <c r="Q18" s="23">
        <v>6.3000000000000167E-2</v>
      </c>
      <c r="R18" s="23">
        <v>0</v>
      </c>
      <c r="S18" s="23">
        <v>0.105</v>
      </c>
      <c r="T18" s="23">
        <v>-5.0000000000000001E-3</v>
      </c>
      <c r="U18" s="23">
        <v>-0.02</v>
      </c>
      <c r="V18" s="74">
        <v>0.97599999999999998</v>
      </c>
      <c r="W18" s="23">
        <v>-2.6999999999999913E-2</v>
      </c>
      <c r="X18" s="70" t="s">
        <v>73</v>
      </c>
      <c r="AL18" s="71">
        <v>1</v>
      </c>
      <c r="AM18" s="75" t="s">
        <v>80</v>
      </c>
      <c r="AN18" s="33">
        <v>5</v>
      </c>
      <c r="AO18" s="34">
        <v>0</v>
      </c>
      <c r="AP18" s="22">
        <v>74.13</v>
      </c>
      <c r="AQ18" s="22">
        <v>40</v>
      </c>
      <c r="AR18" s="22">
        <v>7.87</v>
      </c>
      <c r="AS18" s="34">
        <v>9</v>
      </c>
      <c r="AT18" s="72">
        <v>61.8</v>
      </c>
      <c r="AU18" s="33" t="s">
        <v>75</v>
      </c>
      <c r="AV18" s="34">
        <v>1.0900000000000001</v>
      </c>
      <c r="AW18" s="71">
        <v>0</v>
      </c>
      <c r="AX18" s="35">
        <v>0.97599999999999998</v>
      </c>
      <c r="AY18" s="35">
        <v>-2.6999999999999913E-2</v>
      </c>
      <c r="AZ18" s="73" t="s">
        <v>73</v>
      </c>
      <c r="BA18" s="22">
        <v>631.33000000000004</v>
      </c>
      <c r="BB18" s="22">
        <v>99.72</v>
      </c>
      <c r="BC18" s="67">
        <v>1.03</v>
      </c>
      <c r="BD18" s="22">
        <v>498.85</v>
      </c>
      <c r="BE18" s="22">
        <v>-970.57</v>
      </c>
      <c r="BF18" s="22">
        <v>-237.3</v>
      </c>
      <c r="BG18" s="22">
        <v>-233.78</v>
      </c>
      <c r="BH18" s="22">
        <v>-251.5</v>
      </c>
      <c r="BI18" s="22">
        <v>-247.98</v>
      </c>
      <c r="BJ18" s="22">
        <v>0.21</v>
      </c>
      <c r="BK18" s="22">
        <v>71.28</v>
      </c>
      <c r="BL18" s="22">
        <v>-3.11</v>
      </c>
      <c r="BM18" s="68">
        <v>-13.87</v>
      </c>
    </row>
    <row r="19" spans="1:65">
      <c r="A19" s="65">
        <v>1</v>
      </c>
      <c r="B19" s="75" t="s">
        <v>85</v>
      </c>
      <c r="D19" s="19">
        <v>6</v>
      </c>
      <c r="E19" s="22">
        <v>0</v>
      </c>
      <c r="F19" s="22">
        <v>72</v>
      </c>
      <c r="G19" s="22">
        <v>12.3</v>
      </c>
      <c r="H19" s="68">
        <v>1.49</v>
      </c>
      <c r="I19" s="23">
        <v>1.1279999999999999</v>
      </c>
      <c r="J19" s="24"/>
      <c r="K19" s="23">
        <v>-2.0659999999999998</v>
      </c>
      <c r="L19" s="24"/>
      <c r="M19" s="23">
        <v>-0.997</v>
      </c>
      <c r="N19" s="24"/>
      <c r="O19" s="23">
        <v>-1.0740000000000001</v>
      </c>
      <c r="P19" s="24"/>
      <c r="Q19" s="23">
        <v>7.7000000000000068E-2</v>
      </c>
      <c r="R19" s="23">
        <v>8.0000000000000002E-3</v>
      </c>
      <c r="S19" s="23">
        <v>0.126</v>
      </c>
      <c r="T19" s="23">
        <v>5.0000000000000001E-3</v>
      </c>
      <c r="U19" s="23">
        <v>-7.2999999999999995E-2</v>
      </c>
      <c r="V19" s="74">
        <v>0.98160000000000003</v>
      </c>
      <c r="W19" s="23">
        <v>-2.0999999999999908E-2</v>
      </c>
      <c r="X19" s="70" t="s">
        <v>73</v>
      </c>
      <c r="AL19" s="71">
        <v>1</v>
      </c>
      <c r="AM19" s="75" t="s">
        <v>80</v>
      </c>
      <c r="AN19" s="33">
        <v>6</v>
      </c>
      <c r="AO19" s="34">
        <v>0</v>
      </c>
      <c r="AP19" s="22">
        <v>73.91</v>
      </c>
      <c r="AQ19" s="22">
        <v>40</v>
      </c>
      <c r="AR19" s="22">
        <v>8.3800000000000008</v>
      </c>
      <c r="AS19" s="34">
        <v>12.3</v>
      </c>
      <c r="AT19" s="72">
        <v>72</v>
      </c>
      <c r="AU19" s="33" t="s">
        <v>75</v>
      </c>
      <c r="AV19" s="34">
        <v>1.49</v>
      </c>
      <c r="AW19" s="71">
        <v>0</v>
      </c>
      <c r="AX19" s="35">
        <v>0.98160000000000003</v>
      </c>
      <c r="AY19" s="35">
        <v>-2.0999999999999908E-2</v>
      </c>
      <c r="AZ19" s="73" t="s">
        <v>73</v>
      </c>
      <c r="BA19" s="22">
        <v>846</v>
      </c>
      <c r="BB19" s="22">
        <v>116.27</v>
      </c>
      <c r="BC19" s="67">
        <v>1.03</v>
      </c>
      <c r="BD19" s="22">
        <v>684.92</v>
      </c>
      <c r="BE19" s="22">
        <v>-1254.99</v>
      </c>
      <c r="BF19" s="22">
        <v>-310.64</v>
      </c>
      <c r="BG19" s="22">
        <v>-293.55</v>
      </c>
      <c r="BH19" s="22">
        <v>-333.95</v>
      </c>
      <c r="BI19" s="22">
        <v>-316.86</v>
      </c>
      <c r="BJ19" s="22">
        <v>5.16</v>
      </c>
      <c r="BK19" s="22">
        <v>117.02</v>
      </c>
      <c r="BL19" s="22">
        <v>4.75</v>
      </c>
      <c r="BM19" s="68">
        <v>-67.27</v>
      </c>
    </row>
    <row r="20" spans="1:65">
      <c r="A20" s="65">
        <v>1</v>
      </c>
      <c r="B20" s="75" t="s">
        <v>85</v>
      </c>
      <c r="D20" s="19">
        <v>7</v>
      </c>
      <c r="E20" s="22">
        <v>0</v>
      </c>
      <c r="F20" s="22">
        <v>61.7</v>
      </c>
      <c r="G20" s="22">
        <v>9</v>
      </c>
      <c r="H20" s="68">
        <v>1.0900000000000001</v>
      </c>
      <c r="I20" s="23">
        <v>1.115</v>
      </c>
      <c r="J20" s="24"/>
      <c r="K20" s="23">
        <v>-2.2109999999999999</v>
      </c>
      <c r="L20" s="24"/>
      <c r="M20" s="23">
        <v>-1.0760000000000001</v>
      </c>
      <c r="N20" s="24"/>
      <c r="O20" s="23">
        <v>-1.135</v>
      </c>
      <c r="P20" s="24"/>
      <c r="Q20" s="23">
        <v>5.8999999999999941E-2</v>
      </c>
      <c r="R20" s="23">
        <v>-1E-3</v>
      </c>
      <c r="S20" s="23">
        <v>9.7000000000000003E-2</v>
      </c>
      <c r="T20" s="23">
        <v>-8.0000000000000002E-3</v>
      </c>
      <c r="U20" s="23">
        <v>-1.4999999999999999E-2</v>
      </c>
      <c r="V20" s="74">
        <v>0.97540000000000004</v>
      </c>
      <c r="W20" s="23">
        <v>-2.8000000000000025E-2</v>
      </c>
      <c r="X20" s="70" t="s">
        <v>73</v>
      </c>
      <c r="AL20" s="71">
        <v>1</v>
      </c>
      <c r="AM20" s="75" t="s">
        <v>80</v>
      </c>
      <c r="AN20" s="33">
        <v>7</v>
      </c>
      <c r="AO20" s="34">
        <v>0</v>
      </c>
      <c r="AP20" s="22">
        <v>73.2</v>
      </c>
      <c r="AQ20" s="22">
        <v>40</v>
      </c>
      <c r="AR20" s="22">
        <v>8.8000000000000007</v>
      </c>
      <c r="AS20" s="34">
        <v>9</v>
      </c>
      <c r="AT20" s="72">
        <v>61.7</v>
      </c>
      <c r="AU20" s="33" t="s">
        <v>75</v>
      </c>
      <c r="AV20" s="34">
        <v>1.0900000000000001</v>
      </c>
      <c r="AW20" s="71">
        <v>0</v>
      </c>
      <c r="AX20" s="35">
        <v>0.97540000000000004</v>
      </c>
      <c r="AY20" s="35">
        <v>-2.8000000000000025E-2</v>
      </c>
      <c r="AZ20" s="73" t="s">
        <v>73</v>
      </c>
      <c r="BA20" s="22">
        <v>627.16999999999996</v>
      </c>
      <c r="BB20" s="22">
        <v>99.83</v>
      </c>
      <c r="BC20" s="67">
        <v>1.03</v>
      </c>
      <c r="BD20" s="22">
        <v>495.24</v>
      </c>
      <c r="BE20" s="22">
        <v>-981.93</v>
      </c>
      <c r="BF20" s="22">
        <v>-240.27</v>
      </c>
      <c r="BG20" s="22">
        <v>-237.64</v>
      </c>
      <c r="BH20" s="22">
        <v>-253.32</v>
      </c>
      <c r="BI20" s="22">
        <v>-250.69</v>
      </c>
      <c r="BJ20" s="22">
        <v>-0.33</v>
      </c>
      <c r="BK20" s="22">
        <v>65.510000000000005</v>
      </c>
      <c r="BL20" s="22">
        <v>-5.48</v>
      </c>
      <c r="BM20" s="68">
        <v>-10.35</v>
      </c>
    </row>
    <row r="21" spans="1:65">
      <c r="A21" s="65">
        <v>1</v>
      </c>
      <c r="B21" s="75" t="s">
        <v>85</v>
      </c>
      <c r="D21" s="19">
        <v>8</v>
      </c>
      <c r="E21" s="22">
        <v>0</v>
      </c>
      <c r="F21" s="22">
        <v>51.4</v>
      </c>
      <c r="G21" s="22">
        <v>6.2</v>
      </c>
      <c r="H21" s="68">
        <v>0.75</v>
      </c>
      <c r="I21" s="23">
        <v>1.131</v>
      </c>
      <c r="J21" s="24"/>
      <c r="K21" s="23">
        <v>-2.1760000000000002</v>
      </c>
      <c r="L21" s="24"/>
      <c r="M21" s="23">
        <v>-1.0469999999999999</v>
      </c>
      <c r="N21" s="24"/>
      <c r="O21" s="23">
        <v>-1.135</v>
      </c>
      <c r="P21" s="24"/>
      <c r="Q21" s="23">
        <v>8.8000000000000078E-2</v>
      </c>
      <c r="R21" s="23">
        <v>5.0000000000000001E-3</v>
      </c>
      <c r="S21" s="23">
        <v>0.14499999999999999</v>
      </c>
      <c r="T21" s="23">
        <v>-4.0000000000000001E-3</v>
      </c>
      <c r="U21" s="23">
        <v>-2.1000000000000001E-2</v>
      </c>
      <c r="V21" s="74">
        <v>0.96450000000000002</v>
      </c>
      <c r="W21" s="23">
        <v>-4.0000000000000036E-2</v>
      </c>
      <c r="X21" s="70" t="s">
        <v>73</v>
      </c>
      <c r="AL21" s="71">
        <v>1</v>
      </c>
      <c r="AM21" s="75" t="s">
        <v>80</v>
      </c>
      <c r="AN21" s="33">
        <v>8</v>
      </c>
      <c r="AO21" s="34">
        <v>0</v>
      </c>
      <c r="AP21" s="22">
        <v>71.94</v>
      </c>
      <c r="AQ21" s="22">
        <v>40</v>
      </c>
      <c r="AR21" s="22">
        <v>9.39</v>
      </c>
      <c r="AS21" s="34">
        <v>6.2</v>
      </c>
      <c r="AT21" s="72">
        <v>51.4</v>
      </c>
      <c r="AU21" s="33" t="s">
        <v>75</v>
      </c>
      <c r="AV21" s="34">
        <v>0.75</v>
      </c>
      <c r="AW21" s="71">
        <v>0</v>
      </c>
      <c r="AX21" s="35">
        <v>0.96450000000000002</v>
      </c>
      <c r="AY21" s="35">
        <v>-4.0000000000000036E-2</v>
      </c>
      <c r="AZ21" s="73" t="s">
        <v>73</v>
      </c>
      <c r="BA21" s="22">
        <v>442.67</v>
      </c>
      <c r="BB21" s="22">
        <v>83.07</v>
      </c>
      <c r="BC21" s="67">
        <v>1.03</v>
      </c>
      <c r="BD21" s="22">
        <v>345.56</v>
      </c>
      <c r="BE21" s="22">
        <v>-664.94</v>
      </c>
      <c r="BF21" s="22">
        <v>-160.74</v>
      </c>
      <c r="BG21" s="22">
        <v>-158.29</v>
      </c>
      <c r="BH21" s="22">
        <v>-174.18</v>
      </c>
      <c r="BI21" s="22">
        <v>-171.73</v>
      </c>
      <c r="BJ21" s="22">
        <v>1.52</v>
      </c>
      <c r="BK21" s="22">
        <v>67.459999999999994</v>
      </c>
      <c r="BL21" s="22">
        <v>-1.9</v>
      </c>
      <c r="BM21" s="68">
        <v>-9.66</v>
      </c>
    </row>
    <row r="22" spans="1:65">
      <c r="A22" s="65">
        <v>1</v>
      </c>
      <c r="B22" s="75" t="s">
        <v>85</v>
      </c>
      <c r="D22" s="19">
        <v>9</v>
      </c>
      <c r="E22" s="22">
        <v>0</v>
      </c>
      <c r="F22" s="22">
        <v>41.1</v>
      </c>
      <c r="G22" s="22">
        <v>3.9</v>
      </c>
      <c r="H22" s="68">
        <v>0.48</v>
      </c>
      <c r="I22" s="23">
        <v>1.131</v>
      </c>
      <c r="J22" s="24"/>
      <c r="K22" s="23">
        <v>-2.1070000000000002</v>
      </c>
      <c r="L22" s="24"/>
      <c r="M22" s="23">
        <v>-0.99</v>
      </c>
      <c r="N22" s="24"/>
      <c r="O22" s="23">
        <v>-1.1160000000000001</v>
      </c>
      <c r="P22" s="24"/>
      <c r="Q22" s="23">
        <v>0.12600000000000011</v>
      </c>
      <c r="R22" s="23">
        <v>1E-3</v>
      </c>
      <c r="S22" s="23">
        <v>0.20799999999999999</v>
      </c>
      <c r="T22" s="23">
        <v>-4.0000000000000001E-3</v>
      </c>
      <c r="U22" s="23">
        <v>-2.1000000000000001E-2</v>
      </c>
      <c r="V22" s="74">
        <v>0.94410000000000005</v>
      </c>
      <c r="W22" s="23">
        <v>-6.2999999999999945E-2</v>
      </c>
      <c r="X22" s="70" t="s">
        <v>73</v>
      </c>
      <c r="AL22" s="71">
        <v>1</v>
      </c>
      <c r="AM22" s="75" t="s">
        <v>80</v>
      </c>
      <c r="AN22" s="33">
        <v>9</v>
      </c>
      <c r="AO22" s="34">
        <v>0</v>
      </c>
      <c r="AP22" s="22">
        <v>70</v>
      </c>
      <c r="AQ22" s="22">
        <v>40</v>
      </c>
      <c r="AR22" s="22">
        <v>10.27</v>
      </c>
      <c r="AS22" s="34">
        <v>3.9</v>
      </c>
      <c r="AT22" s="72">
        <v>41.1</v>
      </c>
      <c r="AU22" s="33" t="s">
        <v>75</v>
      </c>
      <c r="AV22" s="34">
        <v>0.48</v>
      </c>
      <c r="AW22" s="71">
        <v>0</v>
      </c>
      <c r="AX22" s="35">
        <v>0.94410000000000005</v>
      </c>
      <c r="AY22" s="35">
        <v>-6.2999999999999945E-2</v>
      </c>
      <c r="AZ22" s="73" t="s">
        <v>73</v>
      </c>
      <c r="BA22" s="22">
        <v>282.17</v>
      </c>
      <c r="BB22" s="22">
        <v>66.02</v>
      </c>
      <c r="BC22" s="67">
        <v>1.03</v>
      </c>
      <c r="BD22" s="22">
        <v>216.54</v>
      </c>
      <c r="BE22" s="22">
        <v>-403.3</v>
      </c>
      <c r="BF22" s="22">
        <v>-95.56</v>
      </c>
      <c r="BG22" s="22">
        <v>-94.01</v>
      </c>
      <c r="BH22" s="22">
        <v>-107.65</v>
      </c>
      <c r="BI22" s="22">
        <v>-106.09</v>
      </c>
      <c r="BJ22" s="22">
        <v>0.22</v>
      </c>
      <c r="BK22" s="22">
        <v>60.66</v>
      </c>
      <c r="BL22" s="22">
        <v>-1.1399999999999999</v>
      </c>
      <c r="BM22" s="68">
        <v>-6.12</v>
      </c>
    </row>
    <row r="23" spans="1:65">
      <c r="A23" s="65">
        <v>1</v>
      </c>
      <c r="B23" s="75" t="s">
        <v>85</v>
      </c>
      <c r="D23" s="19">
        <v>10</v>
      </c>
      <c r="E23" s="22">
        <v>0</v>
      </c>
      <c r="F23" s="22">
        <v>30.8</v>
      </c>
      <c r="G23" s="22">
        <v>2.1</v>
      </c>
      <c r="H23" s="68">
        <v>0.26</v>
      </c>
      <c r="I23" s="23">
        <v>1.1160000000000001</v>
      </c>
      <c r="J23" s="24"/>
      <c r="K23" s="23">
        <v>-1.9810000000000001</v>
      </c>
      <c r="L23" s="24"/>
      <c r="M23" s="23">
        <v>-0.89700000000000002</v>
      </c>
      <c r="N23" s="24"/>
      <c r="O23" s="23">
        <v>-1.091</v>
      </c>
      <c r="P23" s="24"/>
      <c r="Q23" s="23">
        <v>0.19399999999999995</v>
      </c>
      <c r="R23" s="23">
        <v>-4.0000000000000001E-3</v>
      </c>
      <c r="S23" s="23">
        <v>0.317</v>
      </c>
      <c r="T23" s="23">
        <v>-8.0000000000000002E-3</v>
      </c>
      <c r="U23" s="23">
        <v>-1.9E-2</v>
      </c>
      <c r="V23" s="74">
        <v>0.9012</v>
      </c>
      <c r="W23" s="23">
        <v>-0.1100000000000001</v>
      </c>
      <c r="X23" s="70" t="s">
        <v>73</v>
      </c>
      <c r="AL23" s="71">
        <v>1</v>
      </c>
      <c r="AM23" s="75" t="s">
        <v>80</v>
      </c>
      <c r="AN23" s="33">
        <v>10</v>
      </c>
      <c r="AO23" s="34">
        <v>0</v>
      </c>
      <c r="AP23" s="22">
        <v>68.91</v>
      </c>
      <c r="AQ23" s="22">
        <v>40</v>
      </c>
      <c r="AR23" s="22">
        <v>10.74</v>
      </c>
      <c r="AS23" s="34">
        <v>2.1</v>
      </c>
      <c r="AT23" s="72">
        <v>30.8</v>
      </c>
      <c r="AU23" s="33" t="s">
        <v>75</v>
      </c>
      <c r="AV23" s="34">
        <v>0.26</v>
      </c>
      <c r="AW23" s="71">
        <v>0</v>
      </c>
      <c r="AX23" s="35">
        <v>0.9012</v>
      </c>
      <c r="AY23" s="35">
        <v>-0.1100000000000001</v>
      </c>
      <c r="AZ23" s="73" t="s">
        <v>73</v>
      </c>
      <c r="BA23" s="22">
        <v>158.66999999999999</v>
      </c>
      <c r="BB23" s="22">
        <v>48.62</v>
      </c>
      <c r="BC23" s="67">
        <v>1.03</v>
      </c>
      <c r="BD23" s="22">
        <v>114.26</v>
      </c>
      <c r="BE23" s="22">
        <v>-202.88</v>
      </c>
      <c r="BF23" s="22">
        <v>-46.16</v>
      </c>
      <c r="BG23" s="22">
        <v>-45.4</v>
      </c>
      <c r="BH23" s="22">
        <v>-56.04</v>
      </c>
      <c r="BI23" s="22">
        <v>-55.28</v>
      </c>
      <c r="BJ23" s="22">
        <v>-0.45</v>
      </c>
      <c r="BK23" s="22">
        <v>49.59</v>
      </c>
      <c r="BL23" s="22">
        <v>-1.2</v>
      </c>
      <c r="BM23" s="68">
        <v>-3.01</v>
      </c>
    </row>
    <row r="24" spans="1:65">
      <c r="A24" s="65">
        <v>1</v>
      </c>
      <c r="B24" s="75" t="s">
        <v>85</v>
      </c>
      <c r="D24" s="19">
        <v>11</v>
      </c>
      <c r="E24" s="22">
        <v>0</v>
      </c>
      <c r="F24" s="22">
        <v>20.3</v>
      </c>
      <c r="G24" s="22">
        <v>0.8</v>
      </c>
      <c r="H24" s="68">
        <v>0.1</v>
      </c>
      <c r="I24" s="23">
        <v>1.0509999999999999</v>
      </c>
      <c r="J24" s="24"/>
      <c r="K24" s="23">
        <v>-1.76</v>
      </c>
      <c r="L24" s="24"/>
      <c r="M24" s="23">
        <v>-0.69599999999999995</v>
      </c>
      <c r="N24" s="24"/>
      <c r="O24" s="23">
        <v>-1.0820000000000001</v>
      </c>
      <c r="P24" s="24"/>
      <c r="Q24" s="23">
        <v>0.38600000000000012</v>
      </c>
      <c r="R24" s="23">
        <v>5.0000000000000001E-3</v>
      </c>
      <c r="S24" s="23">
        <v>0.628</v>
      </c>
      <c r="T24" s="23">
        <v>-0.01</v>
      </c>
      <c r="U24" s="23">
        <v>-1.9E-2</v>
      </c>
      <c r="V24" s="74">
        <v>0.76119999999999999</v>
      </c>
      <c r="W24" s="23">
        <v>-0.25099999999999989</v>
      </c>
      <c r="X24" s="70" t="s">
        <v>73</v>
      </c>
      <c r="AL24" s="71">
        <v>1</v>
      </c>
      <c r="AM24" s="75" t="s">
        <v>80</v>
      </c>
      <c r="AN24" s="33">
        <v>11</v>
      </c>
      <c r="AO24" s="34">
        <v>0</v>
      </c>
      <c r="AP24" s="22">
        <v>68.790000000000006</v>
      </c>
      <c r="AQ24" s="22">
        <v>40</v>
      </c>
      <c r="AR24" s="22">
        <v>10.88</v>
      </c>
      <c r="AS24" s="34">
        <v>0.8</v>
      </c>
      <c r="AT24" s="72">
        <v>20.3</v>
      </c>
      <c r="AU24" s="33" t="s">
        <v>75</v>
      </c>
      <c r="AV24" s="34">
        <v>0.1</v>
      </c>
      <c r="AW24" s="71">
        <v>0</v>
      </c>
      <c r="AX24" s="35">
        <v>0.76119999999999999</v>
      </c>
      <c r="AY24" s="35">
        <v>-0.25099999999999989</v>
      </c>
      <c r="AZ24" s="73" t="s">
        <v>73</v>
      </c>
      <c r="BA24" s="22">
        <v>65.5</v>
      </c>
      <c r="BB24" s="22">
        <v>29.86</v>
      </c>
      <c r="BC24" s="67">
        <v>1.03</v>
      </c>
      <c r="BD24" s="22">
        <v>39.46</v>
      </c>
      <c r="BE24" s="22">
        <v>-66.069999999999993</v>
      </c>
      <c r="BF24" s="22">
        <v>-13.07</v>
      </c>
      <c r="BG24" s="22">
        <v>-12.79</v>
      </c>
      <c r="BH24" s="22">
        <v>-20.239999999999998</v>
      </c>
      <c r="BI24" s="22">
        <v>-19.96</v>
      </c>
      <c r="BJ24" s="22">
        <v>0.18</v>
      </c>
      <c r="BK24" s="22">
        <v>36</v>
      </c>
      <c r="BL24" s="22">
        <v>-0.56999999999999995</v>
      </c>
      <c r="BM24" s="68">
        <v>-1.1100000000000001</v>
      </c>
    </row>
    <row r="25" spans="1:65">
      <c r="A25" s="66"/>
      <c r="B25"/>
      <c r="C25"/>
      <c r="D25"/>
      <c r="E25"/>
      <c r="F25"/>
      <c r="G25"/>
      <c r="H25" s="69"/>
      <c r="I25"/>
      <c r="J25"/>
      <c r="K25"/>
      <c r="L25"/>
      <c r="M25"/>
      <c r="N25"/>
      <c r="O25"/>
      <c r="P25"/>
      <c r="Q25"/>
      <c r="R25"/>
      <c r="S25"/>
      <c r="T25"/>
      <c r="U25"/>
      <c r="V25" s="66"/>
      <c r="W25"/>
      <c r="X25" s="69"/>
      <c r="Y25"/>
      <c r="Z25"/>
      <c r="AA25"/>
      <c r="AB25"/>
      <c r="AC25"/>
      <c r="AD25"/>
      <c r="AE25"/>
      <c r="AF25"/>
      <c r="AG25"/>
      <c r="AH25"/>
      <c r="AI25"/>
      <c r="AJ25"/>
      <c r="AK25"/>
      <c r="AL25" s="66"/>
      <c r="AM25"/>
      <c r="AN25"/>
      <c r="AO25"/>
      <c r="AP25"/>
      <c r="AQ25"/>
      <c r="AR25"/>
      <c r="AS25"/>
      <c r="AT25" s="69"/>
      <c r="AU25"/>
      <c r="AV25"/>
      <c r="AW25" s="66"/>
      <c r="AX25"/>
      <c r="AY25"/>
      <c r="AZ25" s="69"/>
      <c r="BA25"/>
      <c r="BB25"/>
      <c r="BC25" s="66"/>
      <c r="BD25"/>
      <c r="BE25"/>
      <c r="BF25"/>
      <c r="BG25"/>
      <c r="BH25"/>
      <c r="BI25"/>
      <c r="BJ25"/>
      <c r="BK25"/>
      <c r="BL25"/>
      <c r="BM25" s="69"/>
    </row>
    <row r="26" spans="1:65">
      <c r="A26" s="65">
        <v>2</v>
      </c>
      <c r="B26" s="75" t="s">
        <v>86</v>
      </c>
      <c r="D26" s="19">
        <v>1</v>
      </c>
      <c r="E26" s="22">
        <v>0</v>
      </c>
      <c r="F26" s="22">
        <v>35.799999999999997</v>
      </c>
      <c r="G26" s="22">
        <v>2.9</v>
      </c>
      <c r="H26" s="68">
        <v>0.36</v>
      </c>
      <c r="I26" s="23">
        <v>1.1379999999999999</v>
      </c>
      <c r="J26" s="24"/>
      <c r="K26" s="23">
        <v>-2.0059999999999998</v>
      </c>
      <c r="L26" s="24"/>
      <c r="M26" s="23">
        <v>-0.95599999999999996</v>
      </c>
      <c r="N26" s="24"/>
      <c r="O26" s="23">
        <v>-1.0549999999999999</v>
      </c>
      <c r="P26" s="24"/>
      <c r="Q26" s="23">
        <v>9.8999999999999977E-2</v>
      </c>
      <c r="R26" s="23">
        <v>-3.0000000000000001E-3</v>
      </c>
      <c r="S26" s="23">
        <v>0.16400000000000001</v>
      </c>
      <c r="T26" s="23">
        <v>-7.0000000000000001E-3</v>
      </c>
      <c r="U26" s="23">
        <v>-1.4999999999999999E-2</v>
      </c>
      <c r="V26" s="74">
        <v>0.92700000000000005</v>
      </c>
      <c r="W26" s="23">
        <v>-8.2999999999999963E-2</v>
      </c>
      <c r="X26" s="70" t="s">
        <v>73</v>
      </c>
      <c r="AL26" s="71">
        <v>2</v>
      </c>
      <c r="AM26" s="64" t="s">
        <v>81</v>
      </c>
      <c r="AN26" s="33">
        <v>1</v>
      </c>
      <c r="AO26" s="34">
        <v>0</v>
      </c>
      <c r="AP26" s="22">
        <v>70.28</v>
      </c>
      <c r="AQ26" s="22">
        <v>40</v>
      </c>
      <c r="AR26" s="22">
        <v>9.93</v>
      </c>
      <c r="AS26" s="34">
        <v>2.9</v>
      </c>
      <c r="AT26" s="72">
        <v>35.799999999999997</v>
      </c>
      <c r="AU26" s="33" t="s">
        <v>75</v>
      </c>
      <c r="AV26" s="34">
        <v>0.36</v>
      </c>
      <c r="AW26" s="71">
        <v>0</v>
      </c>
      <c r="AX26" s="35">
        <v>0.92700000000000005</v>
      </c>
      <c r="AY26" s="35">
        <v>-8.2999999999999963E-2</v>
      </c>
      <c r="AZ26" s="73" t="s">
        <v>73</v>
      </c>
      <c r="BA26" s="22">
        <v>214.5</v>
      </c>
      <c r="BB26" s="22">
        <v>57.09</v>
      </c>
      <c r="BC26" s="67">
        <v>1.03</v>
      </c>
      <c r="BD26" s="22">
        <v>161.80000000000001</v>
      </c>
      <c r="BE26" s="22">
        <v>-285.18</v>
      </c>
      <c r="BF26" s="22">
        <v>-68.16</v>
      </c>
      <c r="BG26" s="22">
        <v>-67.34</v>
      </c>
      <c r="BH26" s="22">
        <v>-75.25</v>
      </c>
      <c r="BI26" s="22">
        <v>-74.430000000000007</v>
      </c>
      <c r="BJ26" s="22">
        <v>-0.42</v>
      </c>
      <c r="BK26" s="22">
        <v>35.61</v>
      </c>
      <c r="BL26" s="22">
        <v>-1.43</v>
      </c>
      <c r="BM26" s="68">
        <v>-3.23</v>
      </c>
    </row>
    <row r="27" spans="1:65">
      <c r="A27" s="65">
        <v>2</v>
      </c>
      <c r="B27" s="75" t="s">
        <v>86</v>
      </c>
      <c r="D27" s="19">
        <v>2</v>
      </c>
      <c r="E27" s="22">
        <v>3</v>
      </c>
      <c r="F27" s="22">
        <v>35.799999999999997</v>
      </c>
      <c r="G27" s="22">
        <v>2.9</v>
      </c>
      <c r="H27" s="68">
        <v>0.36</v>
      </c>
      <c r="I27" s="23">
        <v>1.131</v>
      </c>
      <c r="J27" s="24"/>
      <c r="K27" s="23">
        <v>-1.962</v>
      </c>
      <c r="L27" s="24"/>
      <c r="M27" s="23">
        <v>-0.93500000000000005</v>
      </c>
      <c r="N27" s="24"/>
      <c r="O27" s="23">
        <v>-1.03</v>
      </c>
      <c r="P27" s="24"/>
      <c r="Q27" s="23">
        <v>9.4999999999999973E-2</v>
      </c>
      <c r="R27" s="23">
        <v>0.154</v>
      </c>
      <c r="S27" s="23">
        <v>0.155</v>
      </c>
      <c r="T27" s="23">
        <v>-2E-3</v>
      </c>
      <c r="U27" s="23">
        <v>3.4000000000000002E-2</v>
      </c>
      <c r="V27" s="74">
        <v>0.92469999999999997</v>
      </c>
      <c r="W27" s="23">
        <v>-8.4999999999999964E-2</v>
      </c>
      <c r="X27" s="70" t="s">
        <v>73</v>
      </c>
      <c r="AL27" s="71">
        <v>2</v>
      </c>
      <c r="AM27" s="64" t="s">
        <v>81</v>
      </c>
      <c r="AN27" s="33">
        <v>2</v>
      </c>
      <c r="AO27" s="34">
        <v>3</v>
      </c>
      <c r="AP27" s="22">
        <v>70.900000000000006</v>
      </c>
      <c r="AQ27" s="22">
        <v>40</v>
      </c>
      <c r="AR27" s="22">
        <v>9.8699999999999992</v>
      </c>
      <c r="AS27" s="34">
        <v>2.9</v>
      </c>
      <c r="AT27" s="72">
        <v>35.799999999999997</v>
      </c>
      <c r="AU27" s="33" t="s">
        <v>75</v>
      </c>
      <c r="AV27" s="34">
        <v>0.36</v>
      </c>
      <c r="AW27" s="71">
        <v>0</v>
      </c>
      <c r="AX27" s="35">
        <v>0.92469999999999997</v>
      </c>
      <c r="AY27" s="35">
        <v>-8.4999999999999964E-2</v>
      </c>
      <c r="AZ27" s="73" t="s">
        <v>73</v>
      </c>
      <c r="BA27" s="22">
        <v>215.17</v>
      </c>
      <c r="BB27" s="22">
        <v>57.15</v>
      </c>
      <c r="BC27" s="67">
        <v>1.03</v>
      </c>
      <c r="BD27" s="22">
        <v>160.63999999999999</v>
      </c>
      <c r="BE27" s="22">
        <v>-278.68</v>
      </c>
      <c r="BF27" s="22">
        <v>-65.400000000000006</v>
      </c>
      <c r="BG27" s="22">
        <v>-67.25</v>
      </c>
      <c r="BH27" s="22">
        <v>-72.09</v>
      </c>
      <c r="BI27" s="22">
        <v>-73.94</v>
      </c>
      <c r="BJ27" s="22">
        <v>21.91</v>
      </c>
      <c r="BK27" s="22">
        <v>33.61</v>
      </c>
      <c r="BL27" s="22">
        <v>-0.39</v>
      </c>
      <c r="BM27" s="68">
        <v>7.28</v>
      </c>
    </row>
    <row r="28" spans="1:65">
      <c r="A28" s="65">
        <v>2</v>
      </c>
      <c r="B28" s="75" t="s">
        <v>86</v>
      </c>
      <c r="D28" s="19">
        <v>3</v>
      </c>
      <c r="E28" s="22">
        <v>5</v>
      </c>
      <c r="F28" s="22">
        <v>35.9</v>
      </c>
      <c r="G28" s="22">
        <v>2.9</v>
      </c>
      <c r="H28" s="68">
        <v>0.36</v>
      </c>
      <c r="I28" s="23">
        <v>1.109</v>
      </c>
      <c r="J28" s="24"/>
      <c r="K28" s="23">
        <v>-1.92</v>
      </c>
      <c r="L28" s="24"/>
      <c r="M28" s="23">
        <v>-0.92300000000000004</v>
      </c>
      <c r="N28" s="24"/>
      <c r="O28" s="23">
        <v>-1</v>
      </c>
      <c r="P28" s="24"/>
      <c r="Q28" s="23">
        <v>7.6999999999999957E-2</v>
      </c>
      <c r="R28" s="23">
        <v>0.27300000000000002</v>
      </c>
      <c r="S28" s="23">
        <v>0.126</v>
      </c>
      <c r="T28" s="23">
        <v>-2E-3</v>
      </c>
      <c r="U28" s="23">
        <v>7.2999999999999995E-2</v>
      </c>
      <c r="V28" s="74">
        <v>0.92689999999999995</v>
      </c>
      <c r="W28" s="23">
        <v>-8.0999999999999961E-2</v>
      </c>
      <c r="X28" s="70" t="s">
        <v>73</v>
      </c>
      <c r="AL28" s="71">
        <v>2</v>
      </c>
      <c r="AM28" s="64" t="s">
        <v>81</v>
      </c>
      <c r="AN28" s="33">
        <v>3</v>
      </c>
      <c r="AO28" s="34">
        <v>5</v>
      </c>
      <c r="AP28" s="22">
        <v>71.83</v>
      </c>
      <c r="AQ28" s="22">
        <v>40</v>
      </c>
      <c r="AR28" s="22">
        <v>9.73</v>
      </c>
      <c r="AS28" s="34">
        <v>2.9</v>
      </c>
      <c r="AT28" s="72">
        <v>35.9</v>
      </c>
      <c r="AU28" s="33" t="s">
        <v>75</v>
      </c>
      <c r="AV28" s="34">
        <v>0.36</v>
      </c>
      <c r="AW28" s="71">
        <v>0</v>
      </c>
      <c r="AX28" s="35">
        <v>0.92689999999999995</v>
      </c>
      <c r="AY28" s="35">
        <v>-8.0999999999999961E-2</v>
      </c>
      <c r="AZ28" s="73" t="s">
        <v>73</v>
      </c>
      <c r="BA28" s="22">
        <v>213.83</v>
      </c>
      <c r="BB28" s="22">
        <v>57.16</v>
      </c>
      <c r="BC28" s="67">
        <v>1.03</v>
      </c>
      <c r="BD28" s="22">
        <v>157.52000000000001</v>
      </c>
      <c r="BE28" s="22">
        <v>-272.75</v>
      </c>
      <c r="BF28" s="22">
        <v>-63.46</v>
      </c>
      <c r="BG28" s="22">
        <v>-67.459999999999994</v>
      </c>
      <c r="BH28" s="22">
        <v>-68.91</v>
      </c>
      <c r="BI28" s="22">
        <v>-72.91</v>
      </c>
      <c r="BJ28" s="22">
        <v>38.75</v>
      </c>
      <c r="BK28" s="22">
        <v>27.35</v>
      </c>
      <c r="BL28" s="22">
        <v>-0.33</v>
      </c>
      <c r="BM28" s="68">
        <v>15.74</v>
      </c>
    </row>
    <row r="29" spans="1:65">
      <c r="A29" s="65">
        <v>2</v>
      </c>
      <c r="B29" s="75" t="s">
        <v>86</v>
      </c>
      <c r="D29" s="19">
        <v>4</v>
      </c>
      <c r="E29" s="22">
        <v>10</v>
      </c>
      <c r="F29" s="22">
        <v>35.9</v>
      </c>
      <c r="G29" s="22">
        <v>2.9</v>
      </c>
      <c r="H29" s="68">
        <v>0.36</v>
      </c>
      <c r="I29" s="23">
        <v>1.0740000000000001</v>
      </c>
      <c r="J29" s="24"/>
      <c r="K29" s="23">
        <v>-1.867</v>
      </c>
      <c r="L29" s="24"/>
      <c r="M29" s="23">
        <v>-0.91100000000000003</v>
      </c>
      <c r="N29" s="24"/>
      <c r="O29" s="23">
        <v>-0.95699999999999996</v>
      </c>
      <c r="P29" s="24"/>
      <c r="Q29" s="23">
        <v>4.599999999999993E-2</v>
      </c>
      <c r="R29" s="23">
        <v>0.58499999999999996</v>
      </c>
      <c r="S29" s="23">
        <v>7.5999999999999998E-2</v>
      </c>
      <c r="T29" s="23">
        <v>-1.2999999999999999E-2</v>
      </c>
      <c r="U29" s="23">
        <v>0.17299999999999999</v>
      </c>
      <c r="V29" s="74">
        <v>0.92649999999999999</v>
      </c>
      <c r="W29" s="23">
        <v>-7.900000000000007E-2</v>
      </c>
      <c r="X29" s="70" t="s">
        <v>73</v>
      </c>
      <c r="AL29" s="71">
        <v>2</v>
      </c>
      <c r="AM29" s="64" t="s">
        <v>81</v>
      </c>
      <c r="AN29" s="33">
        <v>4</v>
      </c>
      <c r="AO29" s="34">
        <v>10</v>
      </c>
      <c r="AP29" s="22">
        <v>72.95</v>
      </c>
      <c r="AQ29" s="22">
        <v>40</v>
      </c>
      <c r="AR29" s="22">
        <v>9.4600000000000009</v>
      </c>
      <c r="AS29" s="34">
        <v>2.9</v>
      </c>
      <c r="AT29" s="72">
        <v>35.9</v>
      </c>
      <c r="AU29" s="33" t="s">
        <v>75</v>
      </c>
      <c r="AV29" s="34">
        <v>0.36</v>
      </c>
      <c r="AW29" s="71">
        <v>0</v>
      </c>
      <c r="AX29" s="35">
        <v>0.92649999999999999</v>
      </c>
      <c r="AY29" s="35">
        <v>-7.900000000000007E-2</v>
      </c>
      <c r="AZ29" s="73" t="s">
        <v>73</v>
      </c>
      <c r="BA29" s="22">
        <v>213.83</v>
      </c>
      <c r="BB29" s="22">
        <v>57.37</v>
      </c>
      <c r="BC29" s="67">
        <v>1.03</v>
      </c>
      <c r="BD29" s="22">
        <v>152.69</v>
      </c>
      <c r="BE29" s="22">
        <v>-265.39</v>
      </c>
      <c r="BF29" s="22">
        <v>-59.96</v>
      </c>
      <c r="BG29" s="22">
        <v>-69.459999999999994</v>
      </c>
      <c r="BH29" s="22">
        <v>-63.23</v>
      </c>
      <c r="BI29" s="22">
        <v>-72.739999999999995</v>
      </c>
      <c r="BJ29" s="22">
        <v>83.12</v>
      </c>
      <c r="BK29" s="22">
        <v>16.440000000000001</v>
      </c>
      <c r="BL29" s="22">
        <v>-2.77</v>
      </c>
      <c r="BM29" s="68">
        <v>37.43</v>
      </c>
    </row>
    <row r="30" spans="1:65">
      <c r="A30" s="65">
        <v>2</v>
      </c>
      <c r="B30" s="75" t="s">
        <v>86</v>
      </c>
      <c r="D30" s="19">
        <v>5</v>
      </c>
      <c r="E30" s="22">
        <v>15</v>
      </c>
      <c r="F30" s="22">
        <v>35.9</v>
      </c>
      <c r="G30" s="22">
        <v>2.9</v>
      </c>
      <c r="H30" s="68">
        <v>0.36</v>
      </c>
      <c r="I30" s="23">
        <v>1.0629999999999999</v>
      </c>
      <c r="J30" s="24"/>
      <c r="K30" s="23">
        <v>-1.895</v>
      </c>
      <c r="L30" s="24"/>
      <c r="M30" s="23">
        <v>-0.91800000000000004</v>
      </c>
      <c r="N30" s="24"/>
      <c r="O30" s="23">
        <v>-0.97799999999999998</v>
      </c>
      <c r="P30" s="24"/>
      <c r="Q30" s="23">
        <v>5.9999999999999942E-2</v>
      </c>
      <c r="R30" s="23">
        <v>0.89400000000000002</v>
      </c>
      <c r="S30" s="23">
        <v>9.8000000000000004E-2</v>
      </c>
      <c r="T30" s="23">
        <v>-3.5999999999999997E-2</v>
      </c>
      <c r="U30" s="23">
        <v>0.28000000000000003</v>
      </c>
      <c r="V30" s="74">
        <v>0.92659999999999998</v>
      </c>
      <c r="W30" s="23">
        <v>-7.7999999999999958E-2</v>
      </c>
      <c r="X30" s="70" t="s">
        <v>73</v>
      </c>
      <c r="AL30" s="71">
        <v>2</v>
      </c>
      <c r="AM30" s="64" t="s">
        <v>81</v>
      </c>
      <c r="AN30" s="33">
        <v>5</v>
      </c>
      <c r="AO30" s="34">
        <v>15</v>
      </c>
      <c r="AP30" s="22">
        <v>73.19</v>
      </c>
      <c r="AQ30" s="22">
        <v>40</v>
      </c>
      <c r="AR30" s="22">
        <v>9.4499999999999993</v>
      </c>
      <c r="AS30" s="34">
        <v>2.9</v>
      </c>
      <c r="AT30" s="72">
        <v>35.9</v>
      </c>
      <c r="AU30" s="33" t="s">
        <v>75</v>
      </c>
      <c r="AV30" s="34">
        <v>0.36</v>
      </c>
      <c r="AW30" s="71">
        <v>0</v>
      </c>
      <c r="AX30" s="35">
        <v>0.92659999999999998</v>
      </c>
      <c r="AY30" s="35">
        <v>-7.7999999999999958E-2</v>
      </c>
      <c r="AZ30" s="73" t="s">
        <v>73</v>
      </c>
      <c r="BA30" s="22">
        <v>214.67</v>
      </c>
      <c r="BB30" s="22">
        <v>57.47</v>
      </c>
      <c r="BC30" s="67">
        <v>1.03</v>
      </c>
      <c r="BD30" s="22">
        <v>151.25</v>
      </c>
      <c r="BE30" s="22">
        <v>-269.68</v>
      </c>
      <c r="BF30" s="22">
        <v>-57.59</v>
      </c>
      <c r="BG30" s="22">
        <v>-73.03</v>
      </c>
      <c r="BH30" s="22">
        <v>-61.81</v>
      </c>
      <c r="BI30" s="22">
        <v>-77.25</v>
      </c>
      <c r="BJ30" s="22">
        <v>127.22</v>
      </c>
      <c r="BK30" s="22">
        <v>21.18</v>
      </c>
      <c r="BL30" s="22">
        <v>-7.71</v>
      </c>
      <c r="BM30" s="68">
        <v>60.8</v>
      </c>
    </row>
    <row r="31" spans="1:65">
      <c r="A31" s="65">
        <v>2</v>
      </c>
      <c r="B31" s="75" t="s">
        <v>86</v>
      </c>
      <c r="D31" s="19">
        <v>6</v>
      </c>
      <c r="E31" s="22">
        <v>20</v>
      </c>
      <c r="F31" s="22">
        <v>35.9</v>
      </c>
      <c r="G31" s="22">
        <v>2.9</v>
      </c>
      <c r="H31" s="68">
        <v>0.36</v>
      </c>
      <c r="I31" s="23">
        <v>1.026</v>
      </c>
      <c r="J31" s="24"/>
      <c r="K31" s="23">
        <v>-1.806</v>
      </c>
      <c r="L31" s="24"/>
      <c r="M31" s="23">
        <v>-0.84899999999999998</v>
      </c>
      <c r="N31" s="24"/>
      <c r="O31" s="23">
        <v>-0.95599999999999996</v>
      </c>
      <c r="P31" s="24"/>
      <c r="Q31" s="23">
        <v>0.10699999999999998</v>
      </c>
      <c r="R31" s="23">
        <v>1.1739999999999999</v>
      </c>
      <c r="S31" s="23">
        <v>0.17599999999999999</v>
      </c>
      <c r="T31" s="23">
        <v>-0.04</v>
      </c>
      <c r="U31" s="23">
        <v>0.379</v>
      </c>
      <c r="V31" s="74">
        <v>0.92820000000000003</v>
      </c>
      <c r="W31" s="23">
        <v>-7.3000000000000065E-2</v>
      </c>
      <c r="X31" s="70" t="s">
        <v>73</v>
      </c>
      <c r="AL31" s="71">
        <v>2</v>
      </c>
      <c r="AM31" s="64" t="s">
        <v>81</v>
      </c>
      <c r="AN31" s="33">
        <v>6</v>
      </c>
      <c r="AO31" s="34">
        <v>20</v>
      </c>
      <c r="AP31" s="22">
        <v>73.11</v>
      </c>
      <c r="AQ31" s="22">
        <v>40</v>
      </c>
      <c r="AR31" s="22">
        <v>9.64</v>
      </c>
      <c r="AS31" s="34">
        <v>2.9</v>
      </c>
      <c r="AT31" s="72">
        <v>35.9</v>
      </c>
      <c r="AU31" s="33" t="s">
        <v>75</v>
      </c>
      <c r="AV31" s="34">
        <v>0.36</v>
      </c>
      <c r="AW31" s="71">
        <v>0</v>
      </c>
      <c r="AX31" s="35">
        <v>0.92820000000000003</v>
      </c>
      <c r="AY31" s="35">
        <v>-7.3000000000000065E-2</v>
      </c>
      <c r="AZ31" s="73" t="s">
        <v>73</v>
      </c>
      <c r="BA31" s="22">
        <v>217.33</v>
      </c>
      <c r="BB31" s="22">
        <v>57.7</v>
      </c>
      <c r="BC31" s="67">
        <v>1.03</v>
      </c>
      <c r="BD31" s="22">
        <v>146.16</v>
      </c>
      <c r="BE31" s="22">
        <v>-257.26</v>
      </c>
      <c r="BF31" s="22">
        <v>-50.03</v>
      </c>
      <c r="BG31" s="22">
        <v>-70.97</v>
      </c>
      <c r="BH31" s="22">
        <v>-57.66</v>
      </c>
      <c r="BI31" s="22">
        <v>-78.599999999999994</v>
      </c>
      <c r="BJ31" s="22">
        <v>167.27</v>
      </c>
      <c r="BK31" s="22">
        <v>38.299999999999997</v>
      </c>
      <c r="BL31" s="22">
        <v>-8.74</v>
      </c>
      <c r="BM31" s="68">
        <v>82.41</v>
      </c>
    </row>
    <row r="32" spans="1:65">
      <c r="A32" s="65">
        <v>2</v>
      </c>
      <c r="B32" s="75" t="s">
        <v>86</v>
      </c>
      <c r="D32" s="19">
        <v>7</v>
      </c>
      <c r="E32" s="22">
        <v>10</v>
      </c>
      <c r="F32" s="22">
        <v>35.9</v>
      </c>
      <c r="G32" s="22">
        <v>2.9</v>
      </c>
      <c r="H32" s="68">
        <v>0.36</v>
      </c>
      <c r="I32" s="23">
        <v>1.0740000000000001</v>
      </c>
      <c r="J32" s="24"/>
      <c r="K32" s="23">
        <v>-1.865</v>
      </c>
      <c r="L32" s="24"/>
      <c r="M32" s="23">
        <v>-0.90700000000000003</v>
      </c>
      <c r="N32" s="24"/>
      <c r="O32" s="23">
        <v>-0.95499999999999996</v>
      </c>
      <c r="P32" s="24"/>
      <c r="Q32" s="23">
        <v>4.7999999999999932E-2</v>
      </c>
      <c r="R32" s="23">
        <v>0.58399999999999996</v>
      </c>
      <c r="S32" s="23">
        <v>7.8E-2</v>
      </c>
      <c r="T32" s="23">
        <v>-1.2999999999999999E-2</v>
      </c>
      <c r="U32" s="23">
        <v>0.183</v>
      </c>
      <c r="V32" s="74">
        <v>0.92789999999999995</v>
      </c>
      <c r="W32" s="23">
        <v>-7.8000000000000069E-2</v>
      </c>
      <c r="X32" s="70" t="s">
        <v>73</v>
      </c>
      <c r="AL32" s="71">
        <v>2</v>
      </c>
      <c r="AM32" s="64" t="s">
        <v>81</v>
      </c>
      <c r="AN32" s="33">
        <v>7</v>
      </c>
      <c r="AO32" s="34">
        <v>10</v>
      </c>
      <c r="AP32" s="22">
        <v>72.930000000000007</v>
      </c>
      <c r="AQ32" s="22">
        <v>40</v>
      </c>
      <c r="AR32" s="22">
        <v>9.82</v>
      </c>
      <c r="AS32" s="34">
        <v>2.9</v>
      </c>
      <c r="AT32" s="72">
        <v>35.9</v>
      </c>
      <c r="AU32" s="33" t="s">
        <v>75</v>
      </c>
      <c r="AV32" s="34">
        <v>0.36</v>
      </c>
      <c r="AW32" s="71">
        <v>0</v>
      </c>
      <c r="AX32" s="35">
        <v>0.92789999999999995</v>
      </c>
      <c r="AY32" s="35">
        <v>-7.8000000000000069E-2</v>
      </c>
      <c r="AZ32" s="73" t="s">
        <v>73</v>
      </c>
      <c r="BA32" s="22">
        <v>213.17</v>
      </c>
      <c r="BB32" s="22">
        <v>57.44</v>
      </c>
      <c r="BC32" s="67">
        <v>1.03</v>
      </c>
      <c r="BD32" s="22">
        <v>152.97</v>
      </c>
      <c r="BE32" s="22">
        <v>-265.61</v>
      </c>
      <c r="BF32" s="22">
        <v>-59.65</v>
      </c>
      <c r="BG32" s="22">
        <v>-69.77</v>
      </c>
      <c r="BH32" s="22">
        <v>-63.03</v>
      </c>
      <c r="BI32" s="22">
        <v>-73.16</v>
      </c>
      <c r="BJ32" s="22">
        <v>83.25</v>
      </c>
      <c r="BK32" s="22">
        <v>16.989999999999998</v>
      </c>
      <c r="BL32" s="22">
        <v>-2.82</v>
      </c>
      <c r="BM32" s="68">
        <v>39.86</v>
      </c>
    </row>
    <row r="33" spans="1:65">
      <c r="A33" s="65">
        <v>2</v>
      </c>
      <c r="B33" s="75" t="s">
        <v>86</v>
      </c>
      <c r="D33" s="19">
        <v>8</v>
      </c>
      <c r="E33" s="22">
        <v>5</v>
      </c>
      <c r="F33" s="22">
        <v>35.799999999999997</v>
      </c>
      <c r="G33" s="22">
        <v>2.9</v>
      </c>
      <c r="H33" s="68">
        <v>0.36</v>
      </c>
      <c r="I33" s="23">
        <v>1.109</v>
      </c>
      <c r="J33" s="24"/>
      <c r="K33" s="23">
        <v>-1.913</v>
      </c>
      <c r="L33" s="24"/>
      <c r="M33" s="23">
        <v>-0.91700000000000004</v>
      </c>
      <c r="N33" s="24"/>
      <c r="O33" s="23">
        <v>-0.997</v>
      </c>
      <c r="P33" s="24"/>
      <c r="Q33" s="23">
        <v>7.999999999999996E-2</v>
      </c>
      <c r="R33" s="23">
        <v>0.26700000000000002</v>
      </c>
      <c r="S33" s="23">
        <v>0.13100000000000001</v>
      </c>
      <c r="T33" s="23">
        <v>-2E-3</v>
      </c>
      <c r="U33" s="23">
        <v>7.9000000000000001E-2</v>
      </c>
      <c r="V33" s="74">
        <v>0.92689999999999995</v>
      </c>
      <c r="W33" s="23">
        <v>-8.0999999999999961E-2</v>
      </c>
      <c r="X33" s="70" t="s">
        <v>73</v>
      </c>
      <c r="AL33" s="71">
        <v>2</v>
      </c>
      <c r="AM33" s="64" t="s">
        <v>81</v>
      </c>
      <c r="AN33" s="33">
        <v>8</v>
      </c>
      <c r="AO33" s="34">
        <v>5</v>
      </c>
      <c r="AP33" s="22">
        <v>72.63</v>
      </c>
      <c r="AQ33" s="22">
        <v>40</v>
      </c>
      <c r="AR33" s="22">
        <v>10</v>
      </c>
      <c r="AS33" s="34">
        <v>2.9</v>
      </c>
      <c r="AT33" s="72">
        <v>35.799999999999997</v>
      </c>
      <c r="AU33" s="33" t="s">
        <v>75</v>
      </c>
      <c r="AV33" s="34">
        <v>0.36</v>
      </c>
      <c r="AW33" s="71">
        <v>0</v>
      </c>
      <c r="AX33" s="35">
        <v>0.92689999999999995</v>
      </c>
      <c r="AY33" s="35">
        <v>-8.0999999999999961E-2</v>
      </c>
      <c r="AZ33" s="73" t="s">
        <v>73</v>
      </c>
      <c r="BA33" s="22">
        <v>213.5</v>
      </c>
      <c r="BB33" s="22">
        <v>57.38</v>
      </c>
      <c r="BC33" s="67">
        <v>1.03</v>
      </c>
      <c r="BD33" s="22">
        <v>157.75</v>
      </c>
      <c r="BE33" s="22">
        <v>-272.27</v>
      </c>
      <c r="BF33" s="22">
        <v>-63.06</v>
      </c>
      <c r="BG33" s="22">
        <v>-67.430000000000007</v>
      </c>
      <c r="BH33" s="22">
        <v>-68.709999999999994</v>
      </c>
      <c r="BI33" s="22">
        <v>-73.069999999999993</v>
      </c>
      <c r="BJ33" s="22">
        <v>38.06</v>
      </c>
      <c r="BK33" s="22">
        <v>28.33</v>
      </c>
      <c r="BL33" s="22">
        <v>-0.46</v>
      </c>
      <c r="BM33" s="68">
        <v>17.190000000000001</v>
      </c>
    </row>
    <row r="34" spans="1:65">
      <c r="A34" s="65">
        <v>2</v>
      </c>
      <c r="B34" s="75" t="s">
        <v>86</v>
      </c>
      <c r="D34" s="19">
        <v>9</v>
      </c>
      <c r="E34" s="22">
        <v>-3</v>
      </c>
      <c r="F34" s="22">
        <v>35.9</v>
      </c>
      <c r="G34" s="22">
        <v>2.9</v>
      </c>
      <c r="H34" s="68">
        <v>0.36</v>
      </c>
      <c r="I34" s="23">
        <v>1.117</v>
      </c>
      <c r="J34" s="24"/>
      <c r="K34" s="23">
        <v>-1.978</v>
      </c>
      <c r="L34" s="24"/>
      <c r="M34" s="23">
        <v>-0.94699999999999995</v>
      </c>
      <c r="N34" s="24"/>
      <c r="O34" s="23">
        <v>-1.0349999999999999</v>
      </c>
      <c r="P34" s="24"/>
      <c r="Q34" s="23">
        <v>8.7999999999999967E-2</v>
      </c>
      <c r="R34" s="23">
        <v>-0.16900000000000001</v>
      </c>
      <c r="S34" s="23">
        <v>0.14399999999999999</v>
      </c>
      <c r="T34" s="23">
        <v>-8.9999999999999993E-3</v>
      </c>
      <c r="U34" s="23">
        <v>-6.7000000000000004E-2</v>
      </c>
      <c r="V34" s="74">
        <v>0.92910000000000004</v>
      </c>
      <c r="W34" s="23">
        <v>-7.8999999999999959E-2</v>
      </c>
      <c r="X34" s="70" t="s">
        <v>73</v>
      </c>
      <c r="AL34" s="71">
        <v>2</v>
      </c>
      <c r="AM34" s="64" t="s">
        <v>81</v>
      </c>
      <c r="AN34" s="33">
        <v>9</v>
      </c>
      <c r="AO34" s="34">
        <v>-3</v>
      </c>
      <c r="AP34" s="22">
        <v>72.260000000000005</v>
      </c>
      <c r="AQ34" s="22">
        <v>40</v>
      </c>
      <c r="AR34" s="22">
        <v>10.19</v>
      </c>
      <c r="AS34" s="34">
        <v>2.9</v>
      </c>
      <c r="AT34" s="72">
        <v>35.9</v>
      </c>
      <c r="AU34" s="33" t="s">
        <v>75</v>
      </c>
      <c r="AV34" s="34">
        <v>0.36</v>
      </c>
      <c r="AW34" s="71">
        <v>0</v>
      </c>
      <c r="AX34" s="35">
        <v>0.92910000000000004</v>
      </c>
      <c r="AY34" s="35">
        <v>-7.8999999999999959E-2</v>
      </c>
      <c r="AZ34" s="73" t="s">
        <v>73</v>
      </c>
      <c r="BA34" s="22">
        <v>215.5</v>
      </c>
      <c r="BB34" s="22">
        <v>57.21</v>
      </c>
      <c r="BC34" s="67">
        <v>1.03</v>
      </c>
      <c r="BD34" s="22">
        <v>159.13</v>
      </c>
      <c r="BE34" s="22">
        <v>-281.81</v>
      </c>
      <c r="BF34" s="22">
        <v>-69.180000000000007</v>
      </c>
      <c r="BG34" s="22">
        <v>-65.489999999999995</v>
      </c>
      <c r="BH34" s="22">
        <v>-75.41</v>
      </c>
      <c r="BI34" s="22">
        <v>-71.73</v>
      </c>
      <c r="BJ34" s="22">
        <v>-24.01</v>
      </c>
      <c r="BK34" s="22">
        <v>31.29</v>
      </c>
      <c r="BL34" s="22">
        <v>-1.85</v>
      </c>
      <c r="BM34" s="68">
        <v>-14.52</v>
      </c>
    </row>
    <row r="35" spans="1:65">
      <c r="A35" s="65">
        <v>2</v>
      </c>
      <c r="B35" s="75" t="s">
        <v>86</v>
      </c>
      <c r="D35" s="19">
        <v>10</v>
      </c>
      <c r="E35" s="22">
        <v>-5</v>
      </c>
      <c r="F35" s="22">
        <v>35.799999999999997</v>
      </c>
      <c r="G35" s="22">
        <v>2.9</v>
      </c>
      <c r="H35" s="68">
        <v>0.36</v>
      </c>
      <c r="I35" s="23">
        <v>1.101</v>
      </c>
      <c r="J35" s="24"/>
      <c r="K35" s="23">
        <v>-1.9510000000000001</v>
      </c>
      <c r="L35" s="24"/>
      <c r="M35" s="23">
        <v>-0.93500000000000005</v>
      </c>
      <c r="N35" s="24"/>
      <c r="O35" s="23">
        <v>-1.014</v>
      </c>
      <c r="P35" s="24"/>
      <c r="Q35" s="23">
        <v>7.8999999999999959E-2</v>
      </c>
      <c r="R35" s="23">
        <v>-0.28399999999999997</v>
      </c>
      <c r="S35" s="23">
        <v>0.129</v>
      </c>
      <c r="T35" s="23">
        <v>-6.0000000000000001E-3</v>
      </c>
      <c r="U35" s="23">
        <v>-0.107</v>
      </c>
      <c r="V35" s="74">
        <v>0.92730000000000001</v>
      </c>
      <c r="W35" s="23">
        <v>-8.0000000000000071E-2</v>
      </c>
      <c r="X35" s="70" t="s">
        <v>73</v>
      </c>
      <c r="AL35" s="71">
        <v>2</v>
      </c>
      <c r="AM35" s="64" t="s">
        <v>81</v>
      </c>
      <c r="AN35" s="33">
        <v>10</v>
      </c>
      <c r="AO35" s="34">
        <v>-5</v>
      </c>
      <c r="AP35" s="22">
        <v>71.95</v>
      </c>
      <c r="AQ35" s="22">
        <v>40</v>
      </c>
      <c r="AR35" s="22">
        <v>10.39</v>
      </c>
      <c r="AS35" s="34">
        <v>2.9</v>
      </c>
      <c r="AT35" s="72">
        <v>35.799999999999997</v>
      </c>
      <c r="AU35" s="33" t="s">
        <v>75</v>
      </c>
      <c r="AV35" s="34">
        <v>0.36</v>
      </c>
      <c r="AW35" s="71">
        <v>0</v>
      </c>
      <c r="AX35" s="35">
        <v>0.92730000000000001</v>
      </c>
      <c r="AY35" s="35">
        <v>-8.0000000000000071E-2</v>
      </c>
      <c r="AZ35" s="73" t="s">
        <v>73</v>
      </c>
      <c r="BA35" s="22">
        <v>215.17</v>
      </c>
      <c r="BB35" s="22">
        <v>57.22</v>
      </c>
      <c r="BC35" s="67">
        <v>1.03</v>
      </c>
      <c r="BD35" s="22">
        <v>156.59</v>
      </c>
      <c r="BE35" s="22">
        <v>-277.52999999999997</v>
      </c>
      <c r="BF35" s="22">
        <v>-69.53</v>
      </c>
      <c r="BG35" s="22">
        <v>-63.65</v>
      </c>
      <c r="BH35" s="22">
        <v>-75.11</v>
      </c>
      <c r="BI35" s="22">
        <v>-69.23</v>
      </c>
      <c r="BJ35" s="22">
        <v>-40.39</v>
      </c>
      <c r="BK35" s="22">
        <v>28.02</v>
      </c>
      <c r="BL35" s="22">
        <v>-1.27</v>
      </c>
      <c r="BM35" s="68">
        <v>-23.15</v>
      </c>
    </row>
    <row r="36" spans="1:65">
      <c r="A36" s="65">
        <v>2</v>
      </c>
      <c r="B36" s="75" t="s">
        <v>86</v>
      </c>
      <c r="D36" s="19">
        <v>11</v>
      </c>
      <c r="E36" s="22">
        <v>-10</v>
      </c>
      <c r="F36" s="22">
        <v>35.700000000000003</v>
      </c>
      <c r="G36" s="22">
        <v>2.9</v>
      </c>
      <c r="H36" s="68">
        <v>0.36</v>
      </c>
      <c r="I36" s="23">
        <v>1.0780000000000001</v>
      </c>
      <c r="J36" s="24"/>
      <c r="K36" s="23">
        <v>-1.893</v>
      </c>
      <c r="L36" s="24"/>
      <c r="M36" s="23">
        <v>-0.91400000000000003</v>
      </c>
      <c r="N36" s="24"/>
      <c r="O36" s="23">
        <v>-0.97899999999999998</v>
      </c>
      <c r="P36" s="24"/>
      <c r="Q36" s="23">
        <v>6.4999999999999947E-2</v>
      </c>
      <c r="R36" s="23">
        <v>-0.59699999999999998</v>
      </c>
      <c r="S36" s="23">
        <v>0.106</v>
      </c>
      <c r="T36" s="23">
        <v>8.0000000000000002E-3</v>
      </c>
      <c r="U36" s="23">
        <v>-0.20699999999999999</v>
      </c>
      <c r="V36" s="74">
        <v>0.92859999999999998</v>
      </c>
      <c r="W36" s="23">
        <v>-7.7000000000000179E-2</v>
      </c>
      <c r="X36" s="70" t="s">
        <v>73</v>
      </c>
      <c r="AL36" s="71">
        <v>2</v>
      </c>
      <c r="AM36" s="64" t="s">
        <v>81</v>
      </c>
      <c r="AN36" s="33">
        <v>11</v>
      </c>
      <c r="AO36" s="34">
        <v>-10</v>
      </c>
      <c r="AP36" s="22">
        <v>71.72</v>
      </c>
      <c r="AQ36" s="22">
        <v>40</v>
      </c>
      <c r="AR36" s="22">
        <v>10.58</v>
      </c>
      <c r="AS36" s="34">
        <v>2.9</v>
      </c>
      <c r="AT36" s="72">
        <v>35.700000000000003</v>
      </c>
      <c r="AU36" s="33" t="s">
        <v>75</v>
      </c>
      <c r="AV36" s="34">
        <v>0.36</v>
      </c>
      <c r="AW36" s="71">
        <v>0</v>
      </c>
      <c r="AX36" s="35">
        <v>0.92859999999999998</v>
      </c>
      <c r="AY36" s="35">
        <v>-7.7000000000000179E-2</v>
      </c>
      <c r="AZ36" s="73" t="s">
        <v>73</v>
      </c>
      <c r="BA36" s="22">
        <v>216.5</v>
      </c>
      <c r="BB36" s="22">
        <v>57.22</v>
      </c>
      <c r="BC36" s="67">
        <v>1.03</v>
      </c>
      <c r="BD36" s="22">
        <v>153.34</v>
      </c>
      <c r="BE36" s="22">
        <v>-269.36</v>
      </c>
      <c r="BF36" s="22">
        <v>-70.739999999999995</v>
      </c>
      <c r="BG36" s="22">
        <v>-59.35</v>
      </c>
      <c r="BH36" s="22">
        <v>-75.33</v>
      </c>
      <c r="BI36" s="22">
        <v>-63.94</v>
      </c>
      <c r="BJ36" s="22">
        <v>-85</v>
      </c>
      <c r="BK36" s="22">
        <v>23.01</v>
      </c>
      <c r="BL36" s="22">
        <v>1.66</v>
      </c>
      <c r="BM36" s="68">
        <v>-44.84</v>
      </c>
    </row>
    <row r="37" spans="1:65">
      <c r="A37" s="65">
        <v>2</v>
      </c>
      <c r="B37" s="75" t="s">
        <v>86</v>
      </c>
      <c r="D37" s="19">
        <v>12</v>
      </c>
      <c r="E37" s="22">
        <v>-15</v>
      </c>
      <c r="F37" s="22">
        <v>35.700000000000003</v>
      </c>
      <c r="G37" s="22">
        <v>2.9</v>
      </c>
      <c r="H37" s="68">
        <v>0.36</v>
      </c>
      <c r="I37" s="23">
        <v>1.048</v>
      </c>
      <c r="J37" s="24"/>
      <c r="K37" s="23">
        <v>-1.867</v>
      </c>
      <c r="L37" s="24"/>
      <c r="M37" s="23">
        <v>-0.90300000000000002</v>
      </c>
      <c r="N37" s="24"/>
      <c r="O37" s="23">
        <v>-0.97099999999999997</v>
      </c>
      <c r="P37" s="24"/>
      <c r="Q37" s="23">
        <v>6.7999999999999949E-2</v>
      </c>
      <c r="R37" s="23">
        <v>-0.90600000000000003</v>
      </c>
      <c r="S37" s="23">
        <v>0.112</v>
      </c>
      <c r="T37" s="23">
        <v>0.03</v>
      </c>
      <c r="U37" s="23">
        <v>-0.30599999999999999</v>
      </c>
      <c r="V37" s="74">
        <v>0.92700000000000005</v>
      </c>
      <c r="W37" s="23">
        <v>-7.6000000000000068E-2</v>
      </c>
      <c r="X37" s="70" t="s">
        <v>73</v>
      </c>
      <c r="AL37" s="71">
        <v>2</v>
      </c>
      <c r="AM37" s="64" t="s">
        <v>81</v>
      </c>
      <c r="AN37" s="33">
        <v>12</v>
      </c>
      <c r="AO37" s="34">
        <v>-15</v>
      </c>
      <c r="AP37" s="22">
        <v>71.540000000000006</v>
      </c>
      <c r="AQ37" s="22">
        <v>40</v>
      </c>
      <c r="AR37" s="22">
        <v>10.83</v>
      </c>
      <c r="AS37" s="34">
        <v>2.9</v>
      </c>
      <c r="AT37" s="72">
        <v>35.700000000000003</v>
      </c>
      <c r="AU37" s="33" t="s">
        <v>75</v>
      </c>
      <c r="AV37" s="34">
        <v>0.36</v>
      </c>
      <c r="AW37" s="71">
        <v>0</v>
      </c>
      <c r="AX37" s="35">
        <v>0.92700000000000005</v>
      </c>
      <c r="AY37" s="35">
        <v>-7.6000000000000068E-2</v>
      </c>
      <c r="AZ37" s="73" t="s">
        <v>73</v>
      </c>
      <c r="BA37" s="22">
        <v>218.83</v>
      </c>
      <c r="BB37" s="22">
        <v>57.52</v>
      </c>
      <c r="BC37" s="67">
        <v>1.03</v>
      </c>
      <c r="BD37" s="22">
        <v>149.16</v>
      </c>
      <c r="BE37" s="22">
        <v>-265.72000000000003</v>
      </c>
      <c r="BF37" s="22">
        <v>-72.45</v>
      </c>
      <c r="BG37" s="22">
        <v>-55.56</v>
      </c>
      <c r="BH37" s="22">
        <v>-77.3</v>
      </c>
      <c r="BI37" s="22">
        <v>-60.41</v>
      </c>
      <c r="BJ37" s="22">
        <v>-128.91999999999999</v>
      </c>
      <c r="BK37" s="22">
        <v>24.34</v>
      </c>
      <c r="BL37" s="22">
        <v>6.49</v>
      </c>
      <c r="BM37" s="68">
        <v>-66.510000000000005</v>
      </c>
    </row>
    <row r="38" spans="1:65">
      <c r="A38" s="65">
        <v>2</v>
      </c>
      <c r="B38" s="75" t="s">
        <v>86</v>
      </c>
      <c r="D38" s="19">
        <v>13</v>
      </c>
      <c r="E38" s="22">
        <v>-20</v>
      </c>
      <c r="F38" s="22">
        <v>35.799999999999997</v>
      </c>
      <c r="G38" s="22">
        <v>2.9</v>
      </c>
      <c r="H38" s="68">
        <v>0.36</v>
      </c>
      <c r="I38" s="23">
        <v>1.012</v>
      </c>
      <c r="J38" s="24"/>
      <c r="K38" s="23">
        <v>-1.7849999999999999</v>
      </c>
      <c r="L38" s="24"/>
      <c r="M38" s="23">
        <v>-0.83499999999999996</v>
      </c>
      <c r="N38" s="24"/>
      <c r="O38" s="23">
        <v>-0.95199999999999996</v>
      </c>
      <c r="P38" s="24"/>
      <c r="Q38" s="23">
        <v>0.11699999999999999</v>
      </c>
      <c r="R38" s="23">
        <v>-1.171</v>
      </c>
      <c r="S38" s="23">
        <v>0.191</v>
      </c>
      <c r="T38" s="23">
        <v>2.4E-2</v>
      </c>
      <c r="U38" s="23">
        <v>-0.39200000000000002</v>
      </c>
      <c r="V38" s="74">
        <v>0.92700000000000005</v>
      </c>
      <c r="W38" s="23">
        <v>-7.4000000000000066E-2</v>
      </c>
      <c r="X38" s="70" t="s">
        <v>73</v>
      </c>
      <c r="AL38" s="71">
        <v>2</v>
      </c>
      <c r="AM38" s="64" t="s">
        <v>81</v>
      </c>
      <c r="AN38" s="33">
        <v>13</v>
      </c>
      <c r="AO38" s="34">
        <v>-20</v>
      </c>
      <c r="AP38" s="22">
        <v>71.459999999999994</v>
      </c>
      <c r="AQ38" s="22">
        <v>40</v>
      </c>
      <c r="AR38" s="22">
        <v>10.94</v>
      </c>
      <c r="AS38" s="34">
        <v>2.9</v>
      </c>
      <c r="AT38" s="72">
        <v>35.799999999999997</v>
      </c>
      <c r="AU38" s="33" t="s">
        <v>75</v>
      </c>
      <c r="AV38" s="34">
        <v>0.36</v>
      </c>
      <c r="AW38" s="71">
        <v>0</v>
      </c>
      <c r="AX38" s="35">
        <v>0.92700000000000005</v>
      </c>
      <c r="AY38" s="35">
        <v>-7.4000000000000066E-2</v>
      </c>
      <c r="AZ38" s="73" t="s">
        <v>73</v>
      </c>
      <c r="BA38" s="22">
        <v>218.83</v>
      </c>
      <c r="BB38" s="22">
        <v>57.6</v>
      </c>
      <c r="BC38" s="67">
        <v>1.03</v>
      </c>
      <c r="BD38" s="22">
        <v>143.91999999999999</v>
      </c>
      <c r="BE38" s="22">
        <v>-253.71</v>
      </c>
      <c r="BF38" s="22">
        <v>-70.099999999999994</v>
      </c>
      <c r="BG38" s="22">
        <v>-48.49</v>
      </c>
      <c r="BH38" s="22">
        <v>-78.36</v>
      </c>
      <c r="BI38" s="22">
        <v>-56.76</v>
      </c>
      <c r="BJ38" s="22">
        <v>-166.43</v>
      </c>
      <c r="BK38" s="22">
        <v>41.5</v>
      </c>
      <c r="BL38" s="22">
        <v>5.18</v>
      </c>
      <c r="BM38" s="68">
        <v>-85.07</v>
      </c>
    </row>
    <row r="39" spans="1:65">
      <c r="A39" s="66"/>
      <c r="B39"/>
      <c r="C39"/>
      <c r="D39"/>
      <c r="E39"/>
      <c r="F39"/>
      <c r="G39"/>
      <c r="H39" s="69"/>
      <c r="I39"/>
      <c r="J39"/>
      <c r="K39"/>
      <c r="L39"/>
      <c r="M39"/>
      <c r="N39"/>
      <c r="O39"/>
      <c r="P39"/>
      <c r="Q39"/>
      <c r="R39"/>
      <c r="S39"/>
      <c r="T39"/>
      <c r="U39"/>
      <c r="V39" s="66"/>
      <c r="W39"/>
      <c r="X39" s="6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 s="66"/>
      <c r="AM39"/>
      <c r="AN39"/>
      <c r="AO39"/>
      <c r="AP39"/>
      <c r="AQ39"/>
      <c r="AR39"/>
      <c r="AS39"/>
      <c r="AT39" s="69"/>
      <c r="AU39"/>
      <c r="AV39"/>
      <c r="AW39" s="66"/>
      <c r="AX39"/>
      <c r="AY39"/>
      <c r="AZ39" s="69"/>
      <c r="BA39"/>
      <c r="BB39"/>
      <c r="BC39" s="66"/>
      <c r="BD39"/>
      <c r="BE39"/>
      <c r="BF39"/>
      <c r="BG39"/>
      <c r="BH39"/>
      <c r="BI39"/>
      <c r="BJ39"/>
      <c r="BK39"/>
      <c r="BL39"/>
      <c r="BM39" s="69"/>
    </row>
    <row r="40" spans="1:65" ht="25">
      <c r="A40" s="65">
        <v>3</v>
      </c>
      <c r="B40" s="75" t="s">
        <v>87</v>
      </c>
      <c r="D40" s="19">
        <v>1</v>
      </c>
      <c r="E40" s="22">
        <v>0</v>
      </c>
      <c r="F40" s="22">
        <v>20.2</v>
      </c>
      <c r="G40" s="22">
        <v>0.8</v>
      </c>
      <c r="H40" s="68">
        <v>0.1</v>
      </c>
      <c r="I40" s="23">
        <v>1.081</v>
      </c>
      <c r="J40" s="24"/>
      <c r="K40" s="23">
        <v>-1.6739999999999999</v>
      </c>
      <c r="L40" s="24"/>
      <c r="M40" s="23">
        <v>-0.76</v>
      </c>
      <c r="N40" s="24"/>
      <c r="O40" s="23">
        <v>-0.90500000000000003</v>
      </c>
      <c r="P40" s="24"/>
      <c r="Q40" s="23">
        <v>0.14500000000000002</v>
      </c>
      <c r="R40" s="23">
        <v>-1E-3</v>
      </c>
      <c r="S40" s="23">
        <v>0.23899999999999999</v>
      </c>
      <c r="T40" s="23">
        <v>-1.4E-2</v>
      </c>
      <c r="U40" s="23">
        <v>-1.2E-2</v>
      </c>
      <c r="V40" s="74">
        <v>0.7762</v>
      </c>
      <c r="W40" s="23">
        <v>-0.24199999999999999</v>
      </c>
      <c r="X40" s="70" t="s">
        <v>73</v>
      </c>
      <c r="AL40" s="71">
        <v>3</v>
      </c>
      <c r="AM40" s="64" t="s">
        <v>82</v>
      </c>
      <c r="AN40" s="33">
        <v>1</v>
      </c>
      <c r="AO40" s="34">
        <v>0</v>
      </c>
      <c r="AP40" s="22">
        <v>71.52</v>
      </c>
      <c r="AQ40" s="22">
        <v>40</v>
      </c>
      <c r="AR40" s="22">
        <v>9.92</v>
      </c>
      <c r="AS40" s="34">
        <v>0.8</v>
      </c>
      <c r="AT40" s="72">
        <v>20.2</v>
      </c>
      <c r="AU40" s="33" t="s">
        <v>75</v>
      </c>
      <c r="AV40" s="34">
        <v>0.1</v>
      </c>
      <c r="AW40" s="71">
        <v>0</v>
      </c>
      <c r="AX40" s="35">
        <v>0.7762</v>
      </c>
      <c r="AY40" s="35">
        <v>-0.24199999999999999</v>
      </c>
      <c r="AZ40" s="73" t="s">
        <v>73</v>
      </c>
      <c r="BA40" s="22">
        <v>64.67</v>
      </c>
      <c r="BB40" s="22">
        <v>30.15</v>
      </c>
      <c r="BC40" s="67">
        <v>1.03</v>
      </c>
      <c r="BD40" s="22">
        <v>41.59</v>
      </c>
      <c r="BE40" s="22">
        <v>-64.400000000000006</v>
      </c>
      <c r="BF40" s="22">
        <v>-14.79</v>
      </c>
      <c r="BG40" s="22">
        <v>-14.61</v>
      </c>
      <c r="BH40" s="22">
        <v>-17.59</v>
      </c>
      <c r="BI40" s="22">
        <v>-17.41</v>
      </c>
      <c r="BJ40" s="22">
        <v>-0.05</v>
      </c>
      <c r="BK40" s="22">
        <v>14.05</v>
      </c>
      <c r="BL40" s="22">
        <v>-0.82</v>
      </c>
      <c r="BM40" s="68">
        <v>-0.72</v>
      </c>
    </row>
    <row r="41" spans="1:65" ht="25">
      <c r="A41" s="65">
        <v>3</v>
      </c>
      <c r="B41" s="75" t="s">
        <v>87</v>
      </c>
      <c r="D41" s="19">
        <v>2</v>
      </c>
      <c r="E41" s="22">
        <v>0</v>
      </c>
      <c r="F41" s="22">
        <v>30.8</v>
      </c>
      <c r="G41" s="22">
        <v>2.1</v>
      </c>
      <c r="H41" s="68">
        <v>0.26</v>
      </c>
      <c r="I41" s="23">
        <v>1.143</v>
      </c>
      <c r="J41" s="24"/>
      <c r="K41" s="23">
        <v>-1.825</v>
      </c>
      <c r="L41" s="24"/>
      <c r="M41" s="23">
        <v>-0.83599999999999997</v>
      </c>
      <c r="N41" s="24"/>
      <c r="O41" s="23">
        <v>-0.98799999999999999</v>
      </c>
      <c r="P41" s="24"/>
      <c r="Q41" s="23">
        <v>0.15200000000000002</v>
      </c>
      <c r="R41" s="23">
        <v>-7.0000000000000001E-3</v>
      </c>
      <c r="S41" s="23">
        <v>0.249</v>
      </c>
      <c r="T41" s="23">
        <v>-1.2E-2</v>
      </c>
      <c r="U41" s="23">
        <v>-1.4E-2</v>
      </c>
      <c r="V41" s="74">
        <v>0.89729999999999999</v>
      </c>
      <c r="W41" s="23">
        <v>-0.11699999999999999</v>
      </c>
      <c r="X41" s="70" t="s">
        <v>73</v>
      </c>
      <c r="AL41" s="71">
        <v>3</v>
      </c>
      <c r="AM41" s="64" t="s">
        <v>82</v>
      </c>
      <c r="AN41" s="33">
        <v>2</v>
      </c>
      <c r="AO41" s="34">
        <v>0</v>
      </c>
      <c r="AP41" s="22">
        <v>70.75</v>
      </c>
      <c r="AQ41" s="22">
        <v>40</v>
      </c>
      <c r="AR41" s="22">
        <v>10.1</v>
      </c>
      <c r="AS41" s="34">
        <v>2.1</v>
      </c>
      <c r="AT41" s="72">
        <v>30.8</v>
      </c>
      <c r="AU41" s="33" t="s">
        <v>75</v>
      </c>
      <c r="AV41" s="34">
        <v>0.26</v>
      </c>
      <c r="AW41" s="71">
        <v>0</v>
      </c>
      <c r="AX41" s="35">
        <v>0.89729999999999999</v>
      </c>
      <c r="AY41" s="35">
        <v>-0.11699999999999999</v>
      </c>
      <c r="AZ41" s="73" t="s">
        <v>73</v>
      </c>
      <c r="BA41" s="22">
        <v>159.5</v>
      </c>
      <c r="BB41" s="22">
        <v>48.69</v>
      </c>
      <c r="BC41" s="67">
        <v>1.03</v>
      </c>
      <c r="BD41" s="22">
        <v>116.68</v>
      </c>
      <c r="BE41" s="22">
        <v>-186.27</v>
      </c>
      <c r="BF41" s="22">
        <v>-42.97</v>
      </c>
      <c r="BG41" s="22">
        <v>-42.42</v>
      </c>
      <c r="BH41" s="22">
        <v>-50.71</v>
      </c>
      <c r="BI41" s="22">
        <v>-50.16</v>
      </c>
      <c r="BJ41" s="22">
        <v>-0.7</v>
      </c>
      <c r="BK41" s="22">
        <v>38.85</v>
      </c>
      <c r="BL41" s="22">
        <v>-1.84</v>
      </c>
      <c r="BM41" s="68">
        <v>-2.16</v>
      </c>
    </row>
    <row r="42" spans="1:65" ht="25">
      <c r="A42" s="65">
        <v>3</v>
      </c>
      <c r="B42" s="75" t="s">
        <v>87</v>
      </c>
      <c r="D42" s="19">
        <v>3</v>
      </c>
      <c r="E42" s="22">
        <v>0</v>
      </c>
      <c r="F42" s="22">
        <v>41.1</v>
      </c>
      <c r="G42" s="22">
        <v>3.9</v>
      </c>
      <c r="H42" s="68">
        <v>0.48</v>
      </c>
      <c r="I42" s="23">
        <v>1.1499999999999999</v>
      </c>
      <c r="J42" s="24"/>
      <c r="K42" s="23">
        <v>-1.8979999999999999</v>
      </c>
      <c r="L42" s="24"/>
      <c r="M42" s="23">
        <v>-0.875</v>
      </c>
      <c r="N42" s="24"/>
      <c r="O42" s="23">
        <v>-1.022</v>
      </c>
      <c r="P42" s="24"/>
      <c r="Q42" s="23">
        <v>0.14700000000000002</v>
      </c>
      <c r="R42" s="23">
        <v>-1.6E-2</v>
      </c>
      <c r="S42" s="23">
        <v>0.24399999999999999</v>
      </c>
      <c r="T42" s="23">
        <v>-8.9999999999999993E-3</v>
      </c>
      <c r="U42" s="23">
        <v>-2.1000000000000001E-2</v>
      </c>
      <c r="V42" s="74">
        <v>0.94479999999999997</v>
      </c>
      <c r="W42" s="23">
        <v>-6.3999999999999835E-2</v>
      </c>
      <c r="X42" s="70" t="s">
        <v>73</v>
      </c>
      <c r="AL42" s="71">
        <v>3</v>
      </c>
      <c r="AM42" s="64" t="s">
        <v>82</v>
      </c>
      <c r="AN42" s="33">
        <v>3</v>
      </c>
      <c r="AO42" s="34">
        <v>0</v>
      </c>
      <c r="AP42" s="22">
        <v>70.52</v>
      </c>
      <c r="AQ42" s="22">
        <v>40</v>
      </c>
      <c r="AR42" s="22">
        <v>10.29</v>
      </c>
      <c r="AS42" s="34">
        <v>3.9</v>
      </c>
      <c r="AT42" s="72">
        <v>41.1</v>
      </c>
      <c r="AU42" s="33" t="s">
        <v>75</v>
      </c>
      <c r="AV42" s="34">
        <v>0.48</v>
      </c>
      <c r="AW42" s="71">
        <v>0</v>
      </c>
      <c r="AX42" s="35">
        <v>0.94479999999999997</v>
      </c>
      <c r="AY42" s="35">
        <v>-6.3999999999999835E-2</v>
      </c>
      <c r="AZ42" s="73" t="s">
        <v>73</v>
      </c>
      <c r="BA42" s="22">
        <v>285.33</v>
      </c>
      <c r="BB42" s="22">
        <v>66.33</v>
      </c>
      <c r="BC42" s="67">
        <v>1.03</v>
      </c>
      <c r="BD42" s="22">
        <v>220.19</v>
      </c>
      <c r="BE42" s="22">
        <v>-363.62</v>
      </c>
      <c r="BF42" s="22">
        <v>-84.58</v>
      </c>
      <c r="BG42" s="22">
        <v>-83.04</v>
      </c>
      <c r="BH42" s="22">
        <v>-98.77</v>
      </c>
      <c r="BI42" s="22">
        <v>-97.23</v>
      </c>
      <c r="BJ42" s="22">
        <v>-3.12</v>
      </c>
      <c r="BK42" s="22">
        <v>71.23</v>
      </c>
      <c r="BL42" s="22">
        <v>-2.74</v>
      </c>
      <c r="BM42" s="68">
        <v>-6.09</v>
      </c>
    </row>
    <row r="43" spans="1:65" ht="25">
      <c r="A43" s="65">
        <v>3</v>
      </c>
      <c r="B43" s="75" t="s">
        <v>87</v>
      </c>
      <c r="D43" s="19">
        <v>4</v>
      </c>
      <c r="E43" s="22">
        <v>0</v>
      </c>
      <c r="F43" s="22">
        <v>51.4</v>
      </c>
      <c r="G43" s="22">
        <v>6.2</v>
      </c>
      <c r="H43" s="68">
        <v>0.75</v>
      </c>
      <c r="I43" s="23">
        <v>1.145</v>
      </c>
      <c r="J43" s="24"/>
      <c r="K43" s="23">
        <v>-1.9490000000000001</v>
      </c>
      <c r="L43" s="24"/>
      <c r="M43" s="23">
        <v>-0.90400000000000003</v>
      </c>
      <c r="N43" s="24"/>
      <c r="O43" s="23">
        <v>-1.048</v>
      </c>
      <c r="P43" s="24"/>
      <c r="Q43" s="23">
        <v>0.14400000000000002</v>
      </c>
      <c r="R43" s="23">
        <v>-0.01</v>
      </c>
      <c r="S43" s="23">
        <v>0.23599999999999999</v>
      </c>
      <c r="T43" s="23">
        <v>-8.9999999999999993E-3</v>
      </c>
      <c r="U43" s="23">
        <v>-1.7999999999999999E-2</v>
      </c>
      <c r="V43" s="74">
        <v>0.96389999999999998</v>
      </c>
      <c r="W43" s="23">
        <v>-4.0999999999999925E-2</v>
      </c>
      <c r="X43" s="70" t="s">
        <v>73</v>
      </c>
      <c r="AL43" s="71">
        <v>3</v>
      </c>
      <c r="AM43" s="64" t="s">
        <v>82</v>
      </c>
      <c r="AN43" s="33">
        <v>4</v>
      </c>
      <c r="AO43" s="34">
        <v>0</v>
      </c>
      <c r="AP43" s="22">
        <v>70.790000000000006</v>
      </c>
      <c r="AQ43" s="22">
        <v>40</v>
      </c>
      <c r="AR43" s="22">
        <v>10.47</v>
      </c>
      <c r="AS43" s="34">
        <v>6.2</v>
      </c>
      <c r="AT43" s="72">
        <v>51.4</v>
      </c>
      <c r="AU43" s="33" t="s">
        <v>75</v>
      </c>
      <c r="AV43" s="34">
        <v>0.75</v>
      </c>
      <c r="AW43" s="71">
        <v>0</v>
      </c>
      <c r="AX43" s="35">
        <v>0.96389999999999998</v>
      </c>
      <c r="AY43" s="35">
        <v>-4.0999999999999925E-2</v>
      </c>
      <c r="AZ43" s="73" t="s">
        <v>73</v>
      </c>
      <c r="BA43" s="22">
        <v>437.33</v>
      </c>
      <c r="BB43" s="22">
        <v>82.95</v>
      </c>
      <c r="BC43" s="67">
        <v>1.03</v>
      </c>
      <c r="BD43" s="22">
        <v>349.64</v>
      </c>
      <c r="BE43" s="22">
        <v>-595.26</v>
      </c>
      <c r="BF43" s="22">
        <v>-138.93</v>
      </c>
      <c r="BG43" s="22">
        <v>-136.76</v>
      </c>
      <c r="BH43" s="22">
        <v>-160.87</v>
      </c>
      <c r="BI43" s="22">
        <v>-158.69999999999999</v>
      </c>
      <c r="BJ43" s="22">
        <v>-3.08</v>
      </c>
      <c r="BK43" s="22">
        <v>110.15</v>
      </c>
      <c r="BL43" s="22">
        <v>-4.2300000000000004</v>
      </c>
      <c r="BM43" s="68">
        <v>-8.5500000000000007</v>
      </c>
    </row>
    <row r="44" spans="1:65" ht="25">
      <c r="A44" s="65">
        <v>3</v>
      </c>
      <c r="B44" s="75" t="s">
        <v>87</v>
      </c>
      <c r="D44" s="19">
        <v>5</v>
      </c>
      <c r="E44" s="22">
        <v>0</v>
      </c>
      <c r="F44" s="22">
        <v>61.7</v>
      </c>
      <c r="G44" s="22">
        <v>9</v>
      </c>
      <c r="H44" s="68">
        <v>1.0900000000000001</v>
      </c>
      <c r="I44" s="23">
        <v>1.135</v>
      </c>
      <c r="J44" s="24"/>
      <c r="K44" s="23">
        <v>-2.0099999999999998</v>
      </c>
      <c r="L44" s="24"/>
      <c r="M44" s="23">
        <v>-0.93500000000000005</v>
      </c>
      <c r="N44" s="24"/>
      <c r="O44" s="23">
        <v>-1.079</v>
      </c>
      <c r="P44" s="24"/>
      <c r="Q44" s="23">
        <v>0.14399999999999991</v>
      </c>
      <c r="R44" s="23">
        <v>-6.0000000000000001E-3</v>
      </c>
      <c r="S44" s="23">
        <v>0.23499999999999999</v>
      </c>
      <c r="T44" s="23">
        <v>-8.0000000000000002E-3</v>
      </c>
      <c r="U44" s="23">
        <v>-1.6E-2</v>
      </c>
      <c r="V44" s="74">
        <v>0.97499999999999998</v>
      </c>
      <c r="W44" s="23">
        <v>-2.8999999999999915E-2</v>
      </c>
      <c r="X44" s="70" t="s">
        <v>73</v>
      </c>
      <c r="AL44" s="71">
        <v>3</v>
      </c>
      <c r="AM44" s="64" t="s">
        <v>82</v>
      </c>
      <c r="AN44" s="33">
        <v>5</v>
      </c>
      <c r="AO44" s="34">
        <v>0</v>
      </c>
      <c r="AP44" s="22">
        <v>72.03</v>
      </c>
      <c r="AQ44" s="22">
        <v>40</v>
      </c>
      <c r="AR44" s="22">
        <v>10.8</v>
      </c>
      <c r="AS44" s="34">
        <v>9</v>
      </c>
      <c r="AT44" s="72">
        <v>61.7</v>
      </c>
      <c r="AU44" s="33" t="s">
        <v>75</v>
      </c>
      <c r="AV44" s="34">
        <v>1.0900000000000001</v>
      </c>
      <c r="AW44" s="71">
        <v>0</v>
      </c>
      <c r="AX44" s="35">
        <v>0.97499999999999998</v>
      </c>
      <c r="AY44" s="35">
        <v>-2.8999999999999915E-2</v>
      </c>
      <c r="AZ44" s="73" t="s">
        <v>73</v>
      </c>
      <c r="BA44" s="22">
        <v>619.5</v>
      </c>
      <c r="BB44" s="22">
        <v>99.73</v>
      </c>
      <c r="BC44" s="67">
        <v>1.03</v>
      </c>
      <c r="BD44" s="22">
        <v>503.55</v>
      </c>
      <c r="BE44" s="22">
        <v>-891.96</v>
      </c>
      <c r="BF44" s="22">
        <v>-208.52</v>
      </c>
      <c r="BG44" s="22">
        <v>-205.75</v>
      </c>
      <c r="BH44" s="22">
        <v>-240.23</v>
      </c>
      <c r="BI44" s="22">
        <v>-237.46</v>
      </c>
      <c r="BJ44" s="22">
        <v>-2.82</v>
      </c>
      <c r="BK44" s="22">
        <v>159.16</v>
      </c>
      <c r="BL44" s="22">
        <v>-5.59</v>
      </c>
      <c r="BM44" s="68">
        <v>-10.9</v>
      </c>
    </row>
    <row r="45" spans="1:65" ht="25">
      <c r="A45" s="65">
        <v>3</v>
      </c>
      <c r="B45" s="75" t="s">
        <v>87</v>
      </c>
      <c r="D45" s="19">
        <v>6</v>
      </c>
      <c r="E45" s="22">
        <v>0</v>
      </c>
      <c r="F45" s="22">
        <v>71.900000000000006</v>
      </c>
      <c r="G45" s="22">
        <v>12.2</v>
      </c>
      <c r="H45" s="68">
        <v>1.49</v>
      </c>
      <c r="I45" s="23">
        <v>1.143</v>
      </c>
      <c r="J45" s="24"/>
      <c r="K45" s="23">
        <v>-1.9390000000000001</v>
      </c>
      <c r="L45" s="24"/>
      <c r="M45" s="23">
        <v>-0.89100000000000001</v>
      </c>
      <c r="N45" s="24"/>
      <c r="O45" s="23">
        <v>-1.0529999999999999</v>
      </c>
      <c r="P45" s="24"/>
      <c r="Q45" s="23">
        <v>0.16199999999999992</v>
      </c>
      <c r="R45" s="23">
        <v>0.01</v>
      </c>
      <c r="S45" s="23">
        <v>0.26700000000000002</v>
      </c>
      <c r="T45" s="23">
        <v>5.0000000000000001E-3</v>
      </c>
      <c r="U45" s="23">
        <v>-7.1999999999999995E-2</v>
      </c>
      <c r="V45" s="74">
        <v>0.98150000000000004</v>
      </c>
      <c r="W45" s="23">
        <v>-2.0999999999999908E-2</v>
      </c>
      <c r="X45" s="70" t="s">
        <v>73</v>
      </c>
      <c r="AL45" s="71">
        <v>3</v>
      </c>
      <c r="AM45" s="64" t="s">
        <v>82</v>
      </c>
      <c r="AN45" s="33">
        <v>6</v>
      </c>
      <c r="AO45" s="34">
        <v>0</v>
      </c>
      <c r="AP45" s="22">
        <v>72.790000000000006</v>
      </c>
      <c r="AQ45" s="22">
        <v>40</v>
      </c>
      <c r="AR45" s="22">
        <v>11.1</v>
      </c>
      <c r="AS45" s="34">
        <v>12.2</v>
      </c>
      <c r="AT45" s="72">
        <v>71.900000000000006</v>
      </c>
      <c r="AU45" s="33" t="s">
        <v>75</v>
      </c>
      <c r="AV45" s="34">
        <v>1.49</v>
      </c>
      <c r="AW45" s="71">
        <v>0</v>
      </c>
      <c r="AX45" s="35">
        <v>0.98150000000000004</v>
      </c>
      <c r="AY45" s="35">
        <v>-2.0999999999999908E-2</v>
      </c>
      <c r="AZ45" s="73" t="s">
        <v>73</v>
      </c>
      <c r="BA45" s="22">
        <v>854.33</v>
      </c>
      <c r="BB45" s="22">
        <v>116.11</v>
      </c>
      <c r="BC45" s="67">
        <v>1.03</v>
      </c>
      <c r="BD45" s="22">
        <v>694.63</v>
      </c>
      <c r="BE45" s="22">
        <v>-1177.99</v>
      </c>
      <c r="BF45" s="22">
        <v>-278.41000000000003</v>
      </c>
      <c r="BG45" s="22">
        <v>-261.37</v>
      </c>
      <c r="BH45" s="22">
        <v>-327.62</v>
      </c>
      <c r="BI45" s="22">
        <v>-310.58999999999997</v>
      </c>
      <c r="BJ45" s="22">
        <v>6.3</v>
      </c>
      <c r="BK45" s="22">
        <v>247.04</v>
      </c>
      <c r="BL45" s="22">
        <v>4.9400000000000004</v>
      </c>
      <c r="BM45" s="68">
        <v>-67.06</v>
      </c>
    </row>
    <row r="46" spans="1:65">
      <c r="A46" s="65"/>
      <c r="B46" s="20"/>
      <c r="D46" s="19"/>
      <c r="E46" s="22"/>
      <c r="F46" s="22"/>
      <c r="G46" s="22"/>
      <c r="H46" s="68"/>
      <c r="I46" s="23"/>
      <c r="J46" s="24"/>
      <c r="K46" s="23"/>
      <c r="L46" s="24"/>
      <c r="M46" s="23"/>
      <c r="N46" s="24"/>
      <c r="O46" s="23"/>
      <c r="P46" s="24"/>
      <c r="Q46" s="23"/>
      <c r="R46" s="23"/>
      <c r="S46" s="23"/>
      <c r="T46" s="23"/>
      <c r="U46" s="23"/>
      <c r="V46" s="74"/>
      <c r="W46" s="23"/>
      <c r="X46" s="70"/>
      <c r="AL46" s="71"/>
      <c r="AO46" s="34"/>
      <c r="AP46" s="22"/>
      <c r="AQ46" s="22"/>
      <c r="AR46" s="22"/>
      <c r="AS46" s="34"/>
      <c r="AT46" s="72"/>
      <c r="AV46" s="34"/>
      <c r="AW46" s="71"/>
      <c r="AX46" s="35"/>
      <c r="AY46" s="35"/>
      <c r="AZ46" s="73"/>
      <c r="BA46" s="22"/>
      <c r="BB46" s="22"/>
      <c r="BC46" s="67"/>
      <c r="BD46" s="22"/>
      <c r="BE46" s="22"/>
      <c r="BF46" s="22"/>
      <c r="BG46" s="22"/>
      <c r="BH46" s="22"/>
      <c r="BI46" s="22"/>
      <c r="BJ46" s="22"/>
      <c r="BK46" s="22"/>
      <c r="BL46" s="22"/>
      <c r="BM46" s="68"/>
    </row>
    <row r="47" spans="1:65">
      <c r="A47" s="65">
        <v>3</v>
      </c>
      <c r="B47" s="75" t="s">
        <v>88</v>
      </c>
      <c r="D47" s="19">
        <v>7</v>
      </c>
      <c r="E47" s="22">
        <v>0</v>
      </c>
      <c r="F47" s="22">
        <v>35.9</v>
      </c>
      <c r="G47" s="22">
        <v>2.9</v>
      </c>
      <c r="H47" s="68">
        <v>0.36</v>
      </c>
      <c r="I47" s="23">
        <v>1.1399999999999999</v>
      </c>
      <c r="J47" s="24"/>
      <c r="K47" s="23">
        <v>-1.8839999999999999</v>
      </c>
      <c r="L47" s="24"/>
      <c r="M47" s="23">
        <v>-0.84099999999999997</v>
      </c>
      <c r="N47" s="24"/>
      <c r="O47" s="23">
        <v>-1.04</v>
      </c>
      <c r="P47" s="24"/>
      <c r="Q47" s="23">
        <v>0.19900000000000007</v>
      </c>
      <c r="R47" s="23">
        <v>-7.0000000000000001E-3</v>
      </c>
      <c r="S47" s="23">
        <v>0.32700000000000001</v>
      </c>
      <c r="T47" s="23">
        <v>-0.01</v>
      </c>
      <c r="U47" s="23">
        <v>-0.02</v>
      </c>
      <c r="V47" s="74">
        <v>0.92520000000000002</v>
      </c>
      <c r="W47" s="23">
        <v>-8.4999999999999964E-2</v>
      </c>
      <c r="X47" s="70" t="s">
        <v>73</v>
      </c>
      <c r="AL47" s="71">
        <v>3</v>
      </c>
      <c r="AM47" s="64" t="s">
        <v>82</v>
      </c>
      <c r="AN47" s="33">
        <v>7</v>
      </c>
      <c r="AO47" s="34">
        <v>0</v>
      </c>
      <c r="AP47" s="22">
        <v>71.849999999999994</v>
      </c>
      <c r="AQ47" s="22">
        <v>40</v>
      </c>
      <c r="AR47" s="22">
        <v>11.69</v>
      </c>
      <c r="AS47" s="34">
        <v>2.9</v>
      </c>
      <c r="AT47" s="72">
        <v>35.9</v>
      </c>
      <c r="AU47" s="33" t="s">
        <v>75</v>
      </c>
      <c r="AV47" s="34">
        <v>0.36</v>
      </c>
      <c r="AW47" s="71">
        <v>0</v>
      </c>
      <c r="AX47" s="35">
        <v>0.92520000000000002</v>
      </c>
      <c r="AY47" s="35">
        <v>-8.4999999999999964E-2</v>
      </c>
      <c r="AZ47" s="73" t="s">
        <v>73</v>
      </c>
      <c r="BA47" s="22">
        <v>215.17</v>
      </c>
      <c r="BB47" s="22">
        <v>57.19</v>
      </c>
      <c r="BC47" s="67">
        <v>1.03</v>
      </c>
      <c r="BD47" s="22">
        <v>161.88</v>
      </c>
      <c r="BE47" s="22">
        <v>-267.39999999999998</v>
      </c>
      <c r="BF47" s="22">
        <v>-60.36</v>
      </c>
      <c r="BG47" s="22">
        <v>-59.23</v>
      </c>
      <c r="BH47" s="22">
        <v>-74.47</v>
      </c>
      <c r="BI47" s="22">
        <v>-73.34</v>
      </c>
      <c r="BJ47" s="22">
        <v>-1.01</v>
      </c>
      <c r="BK47" s="22">
        <v>70.83</v>
      </c>
      <c r="BL47" s="22">
        <v>-2.09</v>
      </c>
      <c r="BM47" s="68">
        <v>-4.42</v>
      </c>
    </row>
    <row r="48" spans="1:65">
      <c r="A48" s="65">
        <v>3</v>
      </c>
      <c r="B48" s="75" t="s">
        <v>88</v>
      </c>
      <c r="D48" s="19">
        <v>8</v>
      </c>
      <c r="E48" s="22">
        <v>3</v>
      </c>
      <c r="F48" s="22">
        <v>35.799999999999997</v>
      </c>
      <c r="G48" s="22">
        <v>2.9</v>
      </c>
      <c r="H48" s="68">
        <v>0.36</v>
      </c>
      <c r="I48" s="23">
        <v>1.135</v>
      </c>
      <c r="J48" s="24"/>
      <c r="K48" s="23">
        <v>-1.851</v>
      </c>
      <c r="L48" s="24"/>
      <c r="M48" s="23">
        <v>-0.82699999999999996</v>
      </c>
      <c r="N48" s="24"/>
      <c r="O48" s="23">
        <v>-1.0229999999999999</v>
      </c>
      <c r="P48" s="24"/>
      <c r="Q48" s="23">
        <v>0.19599999999999995</v>
      </c>
      <c r="R48" s="23">
        <v>0.151</v>
      </c>
      <c r="S48" s="23">
        <v>0.32300000000000001</v>
      </c>
      <c r="T48" s="23">
        <v>-6.0000000000000001E-3</v>
      </c>
      <c r="U48" s="23">
        <v>2.8000000000000001E-2</v>
      </c>
      <c r="V48" s="74">
        <v>0.92569999999999997</v>
      </c>
      <c r="W48" s="23">
        <v>-8.4000000000000075E-2</v>
      </c>
      <c r="X48" s="70" t="s">
        <v>73</v>
      </c>
      <c r="AL48" s="71">
        <v>3</v>
      </c>
      <c r="AM48" s="64" t="s">
        <v>82</v>
      </c>
      <c r="AN48" s="33">
        <v>8</v>
      </c>
      <c r="AO48" s="34">
        <v>3</v>
      </c>
      <c r="AP48" s="22">
        <v>71.36</v>
      </c>
      <c r="AQ48" s="22">
        <v>40</v>
      </c>
      <c r="AR48" s="22">
        <v>11.99</v>
      </c>
      <c r="AS48" s="34">
        <v>2.9</v>
      </c>
      <c r="AT48" s="72">
        <v>35.799999999999997</v>
      </c>
      <c r="AU48" s="33" t="s">
        <v>75</v>
      </c>
      <c r="AV48" s="34">
        <v>0.36</v>
      </c>
      <c r="AW48" s="71">
        <v>0</v>
      </c>
      <c r="AX48" s="35">
        <v>0.92569999999999997</v>
      </c>
      <c r="AY48" s="35">
        <v>-8.4000000000000075E-2</v>
      </c>
      <c r="AZ48" s="73" t="s">
        <v>73</v>
      </c>
      <c r="BA48" s="22">
        <v>214.5</v>
      </c>
      <c r="BB48" s="22">
        <v>57.21</v>
      </c>
      <c r="BC48" s="67">
        <v>1.03</v>
      </c>
      <c r="BD48" s="22">
        <v>161.38</v>
      </c>
      <c r="BE48" s="22">
        <v>-263.08999999999997</v>
      </c>
      <c r="BF48" s="22">
        <v>-58.02</v>
      </c>
      <c r="BG48" s="22">
        <v>-59.56</v>
      </c>
      <c r="BH48" s="22">
        <v>-71.98</v>
      </c>
      <c r="BI48" s="22">
        <v>-73.52</v>
      </c>
      <c r="BJ48" s="22">
        <v>21.53</v>
      </c>
      <c r="BK48" s="22">
        <v>70.08</v>
      </c>
      <c r="BL48" s="22">
        <v>-1.3</v>
      </c>
      <c r="BM48" s="68">
        <v>6.06</v>
      </c>
    </row>
    <row r="49" spans="1:65">
      <c r="A49" s="65">
        <v>3</v>
      </c>
      <c r="B49" s="75" t="s">
        <v>88</v>
      </c>
      <c r="D49" s="19">
        <v>9</v>
      </c>
      <c r="E49" s="22">
        <v>5</v>
      </c>
      <c r="F49" s="22">
        <v>35.799999999999997</v>
      </c>
      <c r="G49" s="22">
        <v>2.9</v>
      </c>
      <c r="H49" s="68">
        <v>0.36</v>
      </c>
      <c r="I49" s="23">
        <v>1.111</v>
      </c>
      <c r="J49" s="24"/>
      <c r="K49" s="23">
        <v>-1.7989999999999999</v>
      </c>
      <c r="L49" s="24"/>
      <c r="M49" s="23">
        <v>-0.80800000000000005</v>
      </c>
      <c r="N49" s="24"/>
      <c r="O49" s="23">
        <v>-0.99</v>
      </c>
      <c r="P49" s="24"/>
      <c r="Q49" s="23">
        <v>0.18199999999999994</v>
      </c>
      <c r="R49" s="23">
        <v>0.25800000000000001</v>
      </c>
      <c r="S49" s="23">
        <v>0.29899999999999999</v>
      </c>
      <c r="T49" s="23">
        <v>-7.0000000000000001E-3</v>
      </c>
      <c r="U49" s="23">
        <v>6.3E-2</v>
      </c>
      <c r="V49" s="74">
        <v>0.92620000000000002</v>
      </c>
      <c r="W49" s="23">
        <v>-8.2000000000000073E-2</v>
      </c>
      <c r="X49" s="70" t="s">
        <v>73</v>
      </c>
      <c r="AL49" s="71">
        <v>3</v>
      </c>
      <c r="AM49" s="64" t="s">
        <v>82</v>
      </c>
      <c r="AN49" s="33">
        <v>9</v>
      </c>
      <c r="AO49" s="34">
        <v>5</v>
      </c>
      <c r="AP49" s="22">
        <v>70.95</v>
      </c>
      <c r="AQ49" s="22">
        <v>40</v>
      </c>
      <c r="AR49" s="22">
        <v>12.25</v>
      </c>
      <c r="AS49" s="34">
        <v>2.9</v>
      </c>
      <c r="AT49" s="72">
        <v>35.799999999999997</v>
      </c>
      <c r="AU49" s="33" t="s">
        <v>75</v>
      </c>
      <c r="AV49" s="34">
        <v>0.36</v>
      </c>
      <c r="AW49" s="71">
        <v>0</v>
      </c>
      <c r="AX49" s="35">
        <v>0.92620000000000002</v>
      </c>
      <c r="AY49" s="35">
        <v>-8.2000000000000073E-2</v>
      </c>
      <c r="AZ49" s="73" t="s">
        <v>73</v>
      </c>
      <c r="BA49" s="22">
        <v>212.67</v>
      </c>
      <c r="BB49" s="22">
        <v>57.1</v>
      </c>
      <c r="BC49" s="67">
        <v>1.03</v>
      </c>
      <c r="BD49" s="22">
        <v>157.88999999999999</v>
      </c>
      <c r="BE49" s="22">
        <v>-255.75</v>
      </c>
      <c r="BF49" s="22">
        <v>-55.75</v>
      </c>
      <c r="BG49" s="22">
        <v>-59.2</v>
      </c>
      <c r="BH49" s="22">
        <v>-68.680000000000007</v>
      </c>
      <c r="BI49" s="22">
        <v>-72.13</v>
      </c>
      <c r="BJ49" s="22">
        <v>36.74</v>
      </c>
      <c r="BK49" s="22">
        <v>64.900000000000006</v>
      </c>
      <c r="BL49" s="22">
        <v>-1.5</v>
      </c>
      <c r="BM49" s="68">
        <v>13.59</v>
      </c>
    </row>
    <row r="50" spans="1:65">
      <c r="A50" s="65">
        <v>3</v>
      </c>
      <c r="B50" s="75" t="s">
        <v>88</v>
      </c>
      <c r="D50" s="19">
        <v>10</v>
      </c>
      <c r="E50" s="22">
        <v>10</v>
      </c>
      <c r="F50" s="22">
        <v>35.700000000000003</v>
      </c>
      <c r="G50" s="22">
        <v>2.9</v>
      </c>
      <c r="H50" s="68">
        <v>0.36</v>
      </c>
      <c r="I50" s="23">
        <v>1.0760000000000001</v>
      </c>
      <c r="J50" s="24"/>
      <c r="K50" s="23">
        <v>-1.762</v>
      </c>
      <c r="L50" s="24"/>
      <c r="M50" s="23">
        <v>-0.80300000000000005</v>
      </c>
      <c r="N50" s="24"/>
      <c r="O50" s="23">
        <v>-0.96</v>
      </c>
      <c r="P50" s="24"/>
      <c r="Q50" s="23">
        <v>0.15699999999999992</v>
      </c>
      <c r="R50" s="23">
        <v>0.56999999999999995</v>
      </c>
      <c r="S50" s="23">
        <v>0.25900000000000001</v>
      </c>
      <c r="T50" s="23">
        <v>-0.02</v>
      </c>
      <c r="U50" s="23">
        <v>0.16600000000000001</v>
      </c>
      <c r="V50" s="74">
        <v>0.9274</v>
      </c>
      <c r="W50" s="23">
        <v>-7.8000000000000069E-2</v>
      </c>
      <c r="X50" s="70" t="s">
        <v>73</v>
      </c>
      <c r="AL50" s="71">
        <v>3</v>
      </c>
      <c r="AM50" s="64" t="s">
        <v>82</v>
      </c>
      <c r="AN50" s="33">
        <v>10</v>
      </c>
      <c r="AO50" s="34">
        <v>10</v>
      </c>
      <c r="AP50" s="22">
        <v>70.819999999999993</v>
      </c>
      <c r="AQ50" s="22">
        <v>40</v>
      </c>
      <c r="AR50" s="22">
        <v>12.46</v>
      </c>
      <c r="AS50" s="34">
        <v>2.9</v>
      </c>
      <c r="AT50" s="72">
        <v>35.700000000000003</v>
      </c>
      <c r="AU50" s="33" t="s">
        <v>75</v>
      </c>
      <c r="AV50" s="34">
        <v>0.36</v>
      </c>
      <c r="AW50" s="71">
        <v>0</v>
      </c>
      <c r="AX50" s="35">
        <v>0.9274</v>
      </c>
      <c r="AY50" s="35">
        <v>-7.8000000000000069E-2</v>
      </c>
      <c r="AZ50" s="73" t="s">
        <v>73</v>
      </c>
      <c r="BA50" s="22">
        <v>215.83</v>
      </c>
      <c r="BB50" s="22">
        <v>57.26</v>
      </c>
      <c r="BC50" s="67">
        <v>1.03</v>
      </c>
      <c r="BD50" s="22">
        <v>152.87</v>
      </c>
      <c r="BE50" s="22">
        <v>-250.32</v>
      </c>
      <c r="BF50" s="22">
        <v>-52.42</v>
      </c>
      <c r="BG50" s="22">
        <v>-61.57</v>
      </c>
      <c r="BH50" s="22">
        <v>-63.58</v>
      </c>
      <c r="BI50" s="22">
        <v>-72.739999999999995</v>
      </c>
      <c r="BJ50" s="22">
        <v>80.92</v>
      </c>
      <c r="BK50" s="22">
        <v>56.03</v>
      </c>
      <c r="BL50" s="22">
        <v>-4.43</v>
      </c>
      <c r="BM50" s="68">
        <v>36.03</v>
      </c>
    </row>
    <row r="51" spans="1:65">
      <c r="A51" s="65">
        <v>3</v>
      </c>
      <c r="B51" s="75" t="s">
        <v>88</v>
      </c>
      <c r="D51" s="19">
        <v>11</v>
      </c>
      <c r="E51" s="22">
        <v>15</v>
      </c>
      <c r="F51" s="22">
        <v>35.700000000000003</v>
      </c>
      <c r="G51" s="22">
        <v>2.9</v>
      </c>
      <c r="H51" s="68">
        <v>0.36</v>
      </c>
      <c r="I51" s="23">
        <v>1.0569999999999999</v>
      </c>
      <c r="J51" s="24"/>
      <c r="K51" s="23">
        <v>-1.796</v>
      </c>
      <c r="L51" s="24"/>
      <c r="M51" s="23">
        <v>-0.81599999999999995</v>
      </c>
      <c r="N51" s="24"/>
      <c r="O51" s="23">
        <v>-0.98</v>
      </c>
      <c r="P51" s="24"/>
      <c r="Q51" s="23">
        <v>0.16400000000000003</v>
      </c>
      <c r="R51" s="23">
        <v>0.89400000000000002</v>
      </c>
      <c r="S51" s="23">
        <v>0.26900000000000002</v>
      </c>
      <c r="T51" s="23">
        <v>-4.3999999999999997E-2</v>
      </c>
      <c r="U51" s="23">
        <v>0.27600000000000002</v>
      </c>
      <c r="V51" s="74">
        <v>0.92589999999999995</v>
      </c>
      <c r="W51" s="23">
        <v>-7.8999999999999959E-2</v>
      </c>
      <c r="X51" s="70" t="s">
        <v>73</v>
      </c>
      <c r="AL51" s="71">
        <v>3</v>
      </c>
      <c r="AM51" s="64" t="s">
        <v>82</v>
      </c>
      <c r="AN51" s="33">
        <v>11</v>
      </c>
      <c r="AO51" s="34">
        <v>15</v>
      </c>
      <c r="AP51" s="22">
        <v>70.77</v>
      </c>
      <c r="AQ51" s="22">
        <v>40</v>
      </c>
      <c r="AR51" s="22">
        <v>12.55</v>
      </c>
      <c r="AS51" s="34">
        <v>2.9</v>
      </c>
      <c r="AT51" s="72">
        <v>35.700000000000003</v>
      </c>
      <c r="AU51" s="33" t="s">
        <v>75</v>
      </c>
      <c r="AV51" s="34">
        <v>0.36</v>
      </c>
      <c r="AW51" s="71">
        <v>0</v>
      </c>
      <c r="AX51" s="35">
        <v>0.92589999999999995</v>
      </c>
      <c r="AY51" s="35">
        <v>-7.8999999999999959E-2</v>
      </c>
      <c r="AZ51" s="73" t="s">
        <v>73</v>
      </c>
      <c r="BA51" s="22">
        <v>214.83</v>
      </c>
      <c r="BB51" s="22">
        <v>57.45</v>
      </c>
      <c r="BC51" s="67">
        <v>1.03</v>
      </c>
      <c r="BD51" s="22">
        <v>150.13</v>
      </c>
      <c r="BE51" s="22">
        <v>-255.1</v>
      </c>
      <c r="BF51" s="22">
        <v>-50.37</v>
      </c>
      <c r="BG51" s="22">
        <v>-65.56</v>
      </c>
      <c r="BH51" s="22">
        <v>-61.99</v>
      </c>
      <c r="BI51" s="22">
        <v>-77.180000000000007</v>
      </c>
      <c r="BJ51" s="22">
        <v>126.98</v>
      </c>
      <c r="BK51" s="22">
        <v>58.34</v>
      </c>
      <c r="BL51" s="22">
        <v>-9.43</v>
      </c>
      <c r="BM51" s="68">
        <v>59.79</v>
      </c>
    </row>
    <row r="52" spans="1:65">
      <c r="A52" s="65">
        <v>3</v>
      </c>
      <c r="B52" s="75" t="s">
        <v>88</v>
      </c>
      <c r="D52" s="19">
        <v>12</v>
      </c>
      <c r="E52" s="22">
        <v>20</v>
      </c>
      <c r="F52" s="22">
        <v>35.799999999999997</v>
      </c>
      <c r="G52" s="22">
        <v>2.9</v>
      </c>
      <c r="H52" s="68">
        <v>0.36</v>
      </c>
      <c r="I52" s="23">
        <v>1.0229999999999999</v>
      </c>
      <c r="J52" s="24"/>
      <c r="K52" s="23">
        <v>-1.7210000000000001</v>
      </c>
      <c r="L52" s="24"/>
      <c r="M52" s="23">
        <v>-0.755</v>
      </c>
      <c r="N52" s="24"/>
      <c r="O52" s="23">
        <v>-0.96099999999999997</v>
      </c>
      <c r="P52" s="24"/>
      <c r="Q52" s="23">
        <v>0.20599999999999996</v>
      </c>
      <c r="R52" s="23">
        <v>1.173</v>
      </c>
      <c r="S52" s="23">
        <v>0.33900000000000002</v>
      </c>
      <c r="T52" s="23">
        <v>-5.0999999999999997E-2</v>
      </c>
      <c r="U52" s="23">
        <v>0.37</v>
      </c>
      <c r="V52" s="74">
        <v>0.92589999999999995</v>
      </c>
      <c r="W52" s="23">
        <v>-7.4999999999999956E-2</v>
      </c>
      <c r="X52" s="70" t="s">
        <v>73</v>
      </c>
      <c r="AL52" s="71">
        <v>3</v>
      </c>
      <c r="AM52" s="64" t="s">
        <v>82</v>
      </c>
      <c r="AN52" s="33">
        <v>12</v>
      </c>
      <c r="AO52" s="34">
        <v>20</v>
      </c>
      <c r="AP52" s="22">
        <v>70.97</v>
      </c>
      <c r="AQ52" s="22">
        <v>40</v>
      </c>
      <c r="AR52" s="22">
        <v>12.62</v>
      </c>
      <c r="AS52" s="34">
        <v>2.9</v>
      </c>
      <c r="AT52" s="72">
        <v>35.799999999999997</v>
      </c>
      <c r="AU52" s="33" t="s">
        <v>75</v>
      </c>
      <c r="AV52" s="34">
        <v>0.36</v>
      </c>
      <c r="AW52" s="71">
        <v>0</v>
      </c>
      <c r="AX52" s="35">
        <v>0.92589999999999995</v>
      </c>
      <c r="AY52" s="35">
        <v>-7.4999999999999956E-2</v>
      </c>
      <c r="AZ52" s="73" t="s">
        <v>73</v>
      </c>
      <c r="BA52" s="22">
        <v>214</v>
      </c>
      <c r="BB52" s="22">
        <v>57.5</v>
      </c>
      <c r="BC52" s="67">
        <v>1.03</v>
      </c>
      <c r="BD52" s="22">
        <v>145.55000000000001</v>
      </c>
      <c r="BE52" s="22">
        <v>-244.79</v>
      </c>
      <c r="BF52" s="22">
        <v>-43.67</v>
      </c>
      <c r="BG52" s="22">
        <v>-64.06</v>
      </c>
      <c r="BH52" s="22">
        <v>-58.34</v>
      </c>
      <c r="BI52" s="22">
        <v>-78.72</v>
      </c>
      <c r="BJ52" s="22">
        <v>166.75</v>
      </c>
      <c r="BK52" s="22">
        <v>73.599999999999994</v>
      </c>
      <c r="BL52" s="22">
        <v>-11.13</v>
      </c>
      <c r="BM52" s="68">
        <v>80.25</v>
      </c>
    </row>
    <row r="53" spans="1:65">
      <c r="A53" s="66"/>
      <c r="B53"/>
      <c r="C53"/>
      <c r="D53"/>
      <c r="E53"/>
      <c r="F53"/>
      <c r="G53"/>
      <c r="H53" s="69"/>
      <c r="I53"/>
      <c r="J53"/>
      <c r="K53"/>
      <c r="L53"/>
      <c r="M53"/>
      <c r="N53"/>
      <c r="O53"/>
      <c r="P53"/>
      <c r="Q53"/>
      <c r="R53"/>
      <c r="S53"/>
      <c r="T53"/>
      <c r="U53"/>
      <c r="V53" s="66"/>
      <c r="W53"/>
      <c r="X53" s="69"/>
      <c r="Y53"/>
      <c r="Z53"/>
      <c r="AA53"/>
      <c r="AB53"/>
      <c r="AC53"/>
      <c r="AD53"/>
      <c r="AE53"/>
      <c r="AF53"/>
      <c r="AG53"/>
      <c r="AH53"/>
      <c r="AI53"/>
      <c r="AJ53"/>
      <c r="AK53"/>
      <c r="AL53" s="66"/>
      <c r="AM53"/>
      <c r="AN53"/>
      <c r="AO53"/>
      <c r="AP53"/>
      <c r="AQ53"/>
      <c r="AR53"/>
      <c r="AS53"/>
      <c r="AT53" s="69"/>
      <c r="AU53"/>
      <c r="AV53"/>
      <c r="AW53" s="66"/>
      <c r="AX53"/>
      <c r="AY53"/>
      <c r="AZ53" s="69"/>
      <c r="BA53"/>
      <c r="BB53"/>
      <c r="BC53" s="66"/>
      <c r="BD53"/>
      <c r="BE53"/>
      <c r="BF53"/>
      <c r="BG53"/>
      <c r="BH53"/>
      <c r="BI53"/>
      <c r="BJ53"/>
      <c r="BK53"/>
      <c r="BL53"/>
      <c r="BM53" s="69"/>
    </row>
    <row r="54" spans="1:65">
      <c r="A54" s="65">
        <v>4</v>
      </c>
      <c r="B54" s="75" t="s">
        <v>89</v>
      </c>
      <c r="D54" s="19">
        <v>1</v>
      </c>
      <c r="E54" s="22">
        <v>0</v>
      </c>
      <c r="F54" s="22">
        <v>20.399999999999999</v>
      </c>
      <c r="G54" s="22">
        <v>0.8</v>
      </c>
      <c r="H54" s="68">
        <v>0.11</v>
      </c>
      <c r="I54" s="23">
        <v>0.7</v>
      </c>
      <c r="J54" s="24"/>
      <c r="K54" s="23">
        <v>-1.167</v>
      </c>
      <c r="L54" s="24"/>
      <c r="M54" s="23">
        <v>-0.67900000000000005</v>
      </c>
      <c r="N54" s="24"/>
      <c r="O54" s="23">
        <v>-0.48699999999999999</v>
      </c>
      <c r="P54" s="24"/>
      <c r="Q54" s="23">
        <v>-0.19200000000000006</v>
      </c>
      <c r="R54" s="23">
        <v>-2E-3</v>
      </c>
      <c r="S54" s="23">
        <v>-0.315</v>
      </c>
      <c r="T54" s="23">
        <v>1E-3</v>
      </c>
      <c r="U54" s="23">
        <v>-7.0000000000000001E-3</v>
      </c>
      <c r="V54" s="74">
        <v>0.76639999999999997</v>
      </c>
      <c r="W54" s="23">
        <v>-0.16399999999999992</v>
      </c>
      <c r="X54" s="70" t="s">
        <v>73</v>
      </c>
      <c r="AL54" s="71">
        <v>4</v>
      </c>
      <c r="AM54" s="64" t="s">
        <v>83</v>
      </c>
      <c r="AN54" s="33">
        <v>1</v>
      </c>
      <c r="AO54" s="34">
        <v>0</v>
      </c>
      <c r="AP54" s="22">
        <v>71.540000000000006</v>
      </c>
      <c r="AQ54" s="22">
        <v>40</v>
      </c>
      <c r="AR54" s="22">
        <v>11.76</v>
      </c>
      <c r="AS54" s="34">
        <v>0.8</v>
      </c>
      <c r="AT54" s="72">
        <v>20.399999999999999</v>
      </c>
      <c r="AU54" s="33" t="s">
        <v>75</v>
      </c>
      <c r="AV54" s="34">
        <v>0.11</v>
      </c>
      <c r="AW54" s="71">
        <v>0</v>
      </c>
      <c r="AX54" s="35">
        <v>0.76639999999999997</v>
      </c>
      <c r="AY54" s="35">
        <v>-0.16399999999999992</v>
      </c>
      <c r="AZ54" s="73" t="s">
        <v>73</v>
      </c>
      <c r="BA54" s="22">
        <v>66</v>
      </c>
      <c r="BB54" s="22">
        <v>30</v>
      </c>
      <c r="BC54" s="67">
        <v>1.03</v>
      </c>
      <c r="BD54" s="22">
        <v>26.5</v>
      </c>
      <c r="BE54" s="22">
        <v>-44.18</v>
      </c>
      <c r="BF54" s="22">
        <v>-12.91</v>
      </c>
      <c r="BG54" s="22">
        <v>-12.8</v>
      </c>
      <c r="BH54" s="22">
        <v>-9.2899999999999991</v>
      </c>
      <c r="BI54" s="22">
        <v>-9.18</v>
      </c>
      <c r="BJ54" s="22">
        <v>-0.08</v>
      </c>
      <c r="BK54" s="22">
        <v>-18.18</v>
      </c>
      <c r="BL54" s="22">
        <v>7.0000000000000007E-2</v>
      </c>
      <c r="BM54" s="68">
        <v>-0.42</v>
      </c>
    </row>
    <row r="55" spans="1:65">
      <c r="A55" s="65">
        <v>4</v>
      </c>
      <c r="B55" s="75" t="s">
        <v>89</v>
      </c>
      <c r="D55" s="19">
        <v>1</v>
      </c>
      <c r="E55" s="22">
        <v>0</v>
      </c>
      <c r="F55" s="22">
        <v>31</v>
      </c>
      <c r="G55" s="22">
        <v>2.1</v>
      </c>
      <c r="H55" s="68">
        <v>0.26</v>
      </c>
      <c r="I55" s="23">
        <v>0.73699999999999999</v>
      </c>
      <c r="J55" s="24"/>
      <c r="K55" s="23">
        <v>-1.417</v>
      </c>
      <c r="L55" s="24"/>
      <c r="M55" s="23">
        <v>-0.80800000000000005</v>
      </c>
      <c r="N55" s="24"/>
      <c r="O55" s="23">
        <v>-0.60699999999999998</v>
      </c>
      <c r="P55" s="24"/>
      <c r="Q55" s="23">
        <v>-0.20100000000000007</v>
      </c>
      <c r="R55" s="23">
        <v>-1.6E-2</v>
      </c>
      <c r="S55" s="23">
        <v>-0.33100000000000002</v>
      </c>
      <c r="T55" s="23">
        <v>0</v>
      </c>
      <c r="U55" s="23">
        <v>-1.7999999999999999E-2</v>
      </c>
      <c r="V55" s="74">
        <v>0.89629999999999999</v>
      </c>
      <c r="W55" s="23">
        <v>-7.5999999999999956E-2</v>
      </c>
      <c r="X55" s="70" t="s">
        <v>73</v>
      </c>
      <c r="AL55" s="71">
        <v>4</v>
      </c>
      <c r="AM55" s="64" t="s">
        <v>83</v>
      </c>
      <c r="AN55" s="33">
        <v>1</v>
      </c>
      <c r="AO55" s="34">
        <v>0</v>
      </c>
      <c r="AP55" s="22">
        <v>72.84</v>
      </c>
      <c r="AQ55" s="22">
        <v>40</v>
      </c>
      <c r="AR55" s="22">
        <v>12.97</v>
      </c>
      <c r="AS55" s="34">
        <v>2.1</v>
      </c>
      <c r="AT55" s="72">
        <v>31</v>
      </c>
      <c r="AU55" s="33" t="s">
        <v>75</v>
      </c>
      <c r="AV55" s="34">
        <v>0.26</v>
      </c>
      <c r="AW55" s="71">
        <v>0</v>
      </c>
      <c r="AX55" s="35">
        <v>0.89629999999999999</v>
      </c>
      <c r="AY55" s="35">
        <v>-7.5999999999999956E-2</v>
      </c>
      <c r="AZ55" s="73" t="s">
        <v>73</v>
      </c>
      <c r="BA55" s="22">
        <v>158.66999999999999</v>
      </c>
      <c r="BB55" s="22">
        <v>48.59</v>
      </c>
      <c r="BC55" s="67">
        <v>1.03</v>
      </c>
      <c r="BD55" s="22">
        <v>75.3</v>
      </c>
      <c r="BE55" s="22">
        <v>-144.80000000000001</v>
      </c>
      <c r="BF55" s="22">
        <v>-41.68</v>
      </c>
      <c r="BG55" s="22">
        <v>-40.99</v>
      </c>
      <c r="BH55" s="22">
        <v>-31.41</v>
      </c>
      <c r="BI55" s="22">
        <v>-30.72</v>
      </c>
      <c r="BJ55" s="22">
        <v>-1.65</v>
      </c>
      <c r="BK55" s="22">
        <v>-51.56</v>
      </c>
      <c r="BL55" s="22">
        <v>0.05</v>
      </c>
      <c r="BM55" s="68">
        <v>-2.74</v>
      </c>
    </row>
    <row r="56" spans="1:65">
      <c r="A56" s="65">
        <v>4</v>
      </c>
      <c r="B56" s="75" t="s">
        <v>89</v>
      </c>
      <c r="D56" s="19">
        <v>2</v>
      </c>
      <c r="E56" s="22">
        <v>0</v>
      </c>
      <c r="F56" s="22">
        <v>41.3</v>
      </c>
      <c r="G56" s="22">
        <v>3.9</v>
      </c>
      <c r="H56" s="68">
        <v>0.48</v>
      </c>
      <c r="I56" s="23">
        <v>0.74399999999999999</v>
      </c>
      <c r="J56" s="24"/>
      <c r="K56" s="23">
        <v>-1.3959999999999999</v>
      </c>
      <c r="L56" s="24"/>
      <c r="M56" s="23">
        <v>-0.80800000000000005</v>
      </c>
      <c r="N56" s="24"/>
      <c r="O56" s="23">
        <v>-0.58199999999999996</v>
      </c>
      <c r="P56" s="24"/>
      <c r="Q56" s="23">
        <v>-0.22600000000000009</v>
      </c>
      <c r="R56" s="23">
        <v>-2.1999999999999999E-2</v>
      </c>
      <c r="S56" s="23">
        <v>-0.373</v>
      </c>
      <c r="T56" s="23">
        <v>-3.0000000000000001E-3</v>
      </c>
      <c r="U56" s="23">
        <v>-1.7999999999999999E-2</v>
      </c>
      <c r="V56" s="74">
        <v>0.94340000000000002</v>
      </c>
      <c r="W56" s="23">
        <v>-4.2000000000000037E-2</v>
      </c>
      <c r="X56" s="70" t="s">
        <v>73</v>
      </c>
      <c r="AL56" s="71">
        <v>4</v>
      </c>
      <c r="AM56" s="64" t="s">
        <v>83</v>
      </c>
      <c r="AN56" s="33">
        <v>2</v>
      </c>
      <c r="AO56" s="34">
        <v>0</v>
      </c>
      <c r="AP56" s="22">
        <v>73.12</v>
      </c>
      <c r="AQ56" s="22">
        <v>40</v>
      </c>
      <c r="AR56" s="22">
        <v>11.26</v>
      </c>
      <c r="AS56" s="34">
        <v>3.9</v>
      </c>
      <c r="AT56" s="72">
        <v>41.3</v>
      </c>
      <c r="AU56" s="33" t="s">
        <v>75</v>
      </c>
      <c r="AV56" s="34">
        <v>0.48</v>
      </c>
      <c r="AW56" s="71">
        <v>0</v>
      </c>
      <c r="AX56" s="35">
        <v>0.94340000000000002</v>
      </c>
      <c r="AY56" s="35">
        <v>-4.2000000000000037E-2</v>
      </c>
      <c r="AZ56" s="73" t="s">
        <v>73</v>
      </c>
      <c r="BA56" s="22">
        <v>282.17</v>
      </c>
      <c r="BB56" s="22">
        <v>66.400000000000006</v>
      </c>
      <c r="BC56" s="67">
        <v>1.03</v>
      </c>
      <c r="BD56" s="22">
        <v>142.25</v>
      </c>
      <c r="BE56" s="22">
        <v>-266.91000000000003</v>
      </c>
      <c r="BF56" s="22">
        <v>-78.25</v>
      </c>
      <c r="BG56" s="22">
        <v>-76.91</v>
      </c>
      <c r="BH56" s="22">
        <v>-56.55</v>
      </c>
      <c r="BI56" s="22">
        <v>-55.2</v>
      </c>
      <c r="BJ56" s="22">
        <v>-4.1399999999999997</v>
      </c>
      <c r="BK56" s="22">
        <v>-108.95</v>
      </c>
      <c r="BL56" s="22">
        <v>-0.77</v>
      </c>
      <c r="BM56" s="68">
        <v>-5.29</v>
      </c>
    </row>
    <row r="57" spans="1:65">
      <c r="A57" s="65">
        <v>4</v>
      </c>
      <c r="B57" s="75" t="s">
        <v>89</v>
      </c>
      <c r="D57" s="19">
        <v>3</v>
      </c>
      <c r="E57" s="22">
        <v>0</v>
      </c>
      <c r="F57" s="22">
        <v>51.5</v>
      </c>
      <c r="G57" s="22">
        <v>6.2</v>
      </c>
      <c r="H57" s="68">
        <v>0.75</v>
      </c>
      <c r="I57" s="23">
        <v>0.752</v>
      </c>
      <c r="J57" s="24"/>
      <c r="K57" s="23">
        <v>-1.5149999999999999</v>
      </c>
      <c r="L57" s="24"/>
      <c r="M57" s="23">
        <v>-0.876</v>
      </c>
      <c r="N57" s="24"/>
      <c r="O57" s="23">
        <v>-0.63600000000000001</v>
      </c>
      <c r="P57" s="24"/>
      <c r="Q57" s="23">
        <v>-0.24</v>
      </c>
      <c r="R57" s="23">
        <v>-1.2E-2</v>
      </c>
      <c r="S57" s="23">
        <v>-0.39700000000000002</v>
      </c>
      <c r="T57" s="23">
        <v>-2E-3</v>
      </c>
      <c r="U57" s="23">
        <v>-1.7000000000000001E-2</v>
      </c>
      <c r="V57" s="74">
        <v>0.96389999999999998</v>
      </c>
      <c r="W57" s="23">
        <v>-2.8000000000000025E-2</v>
      </c>
      <c r="X57" s="70" t="s">
        <v>73</v>
      </c>
      <c r="AL57" s="71">
        <v>4</v>
      </c>
      <c r="AM57" s="64" t="s">
        <v>83</v>
      </c>
      <c r="AN57" s="33">
        <v>3</v>
      </c>
      <c r="AO57" s="34">
        <v>0</v>
      </c>
      <c r="AP57" s="22">
        <v>73.41</v>
      </c>
      <c r="AQ57" s="22">
        <v>40</v>
      </c>
      <c r="AR57" s="22">
        <v>11.38</v>
      </c>
      <c r="AS57" s="34">
        <v>6.2</v>
      </c>
      <c r="AT57" s="72">
        <v>51.5</v>
      </c>
      <c r="AU57" s="33" t="s">
        <v>75</v>
      </c>
      <c r="AV57" s="34">
        <v>0.75</v>
      </c>
      <c r="AW57" s="71">
        <v>0</v>
      </c>
      <c r="AX57" s="35">
        <v>0.96389999999999998</v>
      </c>
      <c r="AY57" s="35">
        <v>-2.8000000000000025E-2</v>
      </c>
      <c r="AZ57" s="73" t="s">
        <v>73</v>
      </c>
      <c r="BA57" s="22">
        <v>434.33</v>
      </c>
      <c r="BB57" s="22">
        <v>82.71</v>
      </c>
      <c r="BC57" s="67">
        <v>1.03</v>
      </c>
      <c r="BD57" s="22">
        <v>229.45</v>
      </c>
      <c r="BE57" s="22">
        <v>-462.67</v>
      </c>
      <c r="BF57" s="22">
        <v>-135.1</v>
      </c>
      <c r="BG57" s="22">
        <v>-133.07</v>
      </c>
      <c r="BH57" s="22">
        <v>-98.27</v>
      </c>
      <c r="BI57" s="22">
        <v>-96.23</v>
      </c>
      <c r="BJ57" s="22">
        <v>-3.81</v>
      </c>
      <c r="BK57" s="22">
        <v>-184.9</v>
      </c>
      <c r="BL57" s="22">
        <v>-0.71</v>
      </c>
      <c r="BM57" s="68">
        <v>-8.01</v>
      </c>
    </row>
    <row r="58" spans="1:65">
      <c r="A58" s="65">
        <v>4</v>
      </c>
      <c r="B58" s="75" t="s">
        <v>89</v>
      </c>
      <c r="D58" s="19">
        <v>4</v>
      </c>
      <c r="E58" s="22">
        <v>0</v>
      </c>
      <c r="F58" s="22">
        <v>61.8</v>
      </c>
      <c r="G58" s="22">
        <v>9</v>
      </c>
      <c r="H58" s="68">
        <v>1.0900000000000001</v>
      </c>
      <c r="I58" s="23">
        <v>0.74099999999999999</v>
      </c>
      <c r="J58" s="24"/>
      <c r="K58" s="23">
        <v>-1.6060000000000001</v>
      </c>
      <c r="L58" s="24"/>
      <c r="M58" s="23">
        <v>-0.93700000000000006</v>
      </c>
      <c r="N58" s="24"/>
      <c r="O58" s="23">
        <v>-0.66700000000000004</v>
      </c>
      <c r="P58" s="24"/>
      <c r="Q58" s="23">
        <v>-0.27</v>
      </c>
      <c r="R58" s="23">
        <v>-7.0000000000000001E-3</v>
      </c>
      <c r="S58" s="23">
        <v>-0.44500000000000001</v>
      </c>
      <c r="T58" s="23">
        <v>-2E-3</v>
      </c>
      <c r="U58" s="23">
        <v>-1.4999999999999999E-2</v>
      </c>
      <c r="V58" s="74">
        <v>0.97509999999999997</v>
      </c>
      <c r="W58" s="23">
        <v>-1.8000000000000016E-2</v>
      </c>
      <c r="X58" s="70" t="s">
        <v>73</v>
      </c>
      <c r="AL58" s="71">
        <v>4</v>
      </c>
      <c r="AM58" s="64" t="s">
        <v>83</v>
      </c>
      <c r="AN58" s="33">
        <v>4</v>
      </c>
      <c r="AO58" s="34">
        <v>0</v>
      </c>
      <c r="AP58" s="22">
        <v>73.540000000000006</v>
      </c>
      <c r="AQ58" s="22">
        <v>40</v>
      </c>
      <c r="AR58" s="22">
        <v>11.83</v>
      </c>
      <c r="AS58" s="34">
        <v>9</v>
      </c>
      <c r="AT58" s="72">
        <v>61.8</v>
      </c>
      <c r="AU58" s="33" t="s">
        <v>75</v>
      </c>
      <c r="AV58" s="34">
        <v>1.0900000000000001</v>
      </c>
      <c r="AW58" s="71">
        <v>0</v>
      </c>
      <c r="AX58" s="35">
        <v>0.97509999999999997</v>
      </c>
      <c r="AY58" s="35">
        <v>-1.8000000000000016E-2</v>
      </c>
      <c r="AZ58" s="73" t="s">
        <v>73</v>
      </c>
      <c r="BA58" s="22">
        <v>624.33000000000004</v>
      </c>
      <c r="BB58" s="22">
        <v>99.39</v>
      </c>
      <c r="BC58" s="67">
        <v>1.03</v>
      </c>
      <c r="BD58" s="22">
        <v>329.12</v>
      </c>
      <c r="BE58" s="22">
        <v>-713.02</v>
      </c>
      <c r="BF58" s="22">
        <v>-209.59</v>
      </c>
      <c r="BG58" s="22">
        <v>-206.96</v>
      </c>
      <c r="BH58" s="22">
        <v>-149.55000000000001</v>
      </c>
      <c r="BI58" s="22">
        <v>-146.91999999999999</v>
      </c>
      <c r="BJ58" s="22">
        <v>-3.28</v>
      </c>
      <c r="BK58" s="22">
        <v>-301.39</v>
      </c>
      <c r="BL58" s="22">
        <v>-1.03</v>
      </c>
      <c r="BM58" s="68">
        <v>-10.37</v>
      </c>
    </row>
    <row r="59" spans="1:65">
      <c r="A59" s="65">
        <v>4</v>
      </c>
      <c r="B59" s="75" t="s">
        <v>89</v>
      </c>
      <c r="D59" s="19">
        <v>5</v>
      </c>
      <c r="E59" s="22">
        <v>0</v>
      </c>
      <c r="F59" s="22">
        <v>72</v>
      </c>
      <c r="G59" s="22">
        <v>12.3</v>
      </c>
      <c r="H59" s="68">
        <v>1.48</v>
      </c>
      <c r="I59" s="23">
        <v>0.73599999999999999</v>
      </c>
      <c r="J59" s="24"/>
      <c r="K59" s="23">
        <v>-1.603</v>
      </c>
      <c r="L59" s="24"/>
      <c r="M59" s="23">
        <v>-0.93600000000000005</v>
      </c>
      <c r="N59" s="24"/>
      <c r="O59" s="23">
        <v>-0.66500000000000004</v>
      </c>
      <c r="P59" s="24"/>
      <c r="Q59" s="23">
        <v>-0.27100000000000002</v>
      </c>
      <c r="R59" s="23">
        <v>-7.0000000000000001E-3</v>
      </c>
      <c r="S59" s="23">
        <v>-0.44700000000000001</v>
      </c>
      <c r="T59" s="23">
        <v>-2E-3</v>
      </c>
      <c r="U59" s="23">
        <v>-2.4E-2</v>
      </c>
      <c r="V59" s="74">
        <v>0.98180000000000001</v>
      </c>
      <c r="W59" s="23">
        <v>-1.4000000000000012E-2</v>
      </c>
      <c r="X59" s="70" t="s">
        <v>73</v>
      </c>
      <c r="AL59" s="71">
        <v>4</v>
      </c>
      <c r="AM59" s="64" t="s">
        <v>83</v>
      </c>
      <c r="AN59" s="33">
        <v>5</v>
      </c>
      <c r="AO59" s="34">
        <v>0</v>
      </c>
      <c r="AP59" s="22">
        <v>73.760000000000005</v>
      </c>
      <c r="AQ59" s="22">
        <v>40</v>
      </c>
      <c r="AR59" s="22">
        <v>12.17</v>
      </c>
      <c r="AS59" s="34">
        <v>12.3</v>
      </c>
      <c r="AT59" s="72">
        <v>72</v>
      </c>
      <c r="AU59" s="33" t="s">
        <v>75</v>
      </c>
      <c r="AV59" s="34">
        <v>1.48</v>
      </c>
      <c r="AW59" s="71">
        <v>0</v>
      </c>
      <c r="AX59" s="35">
        <v>0.98180000000000001</v>
      </c>
      <c r="AY59" s="35">
        <v>-1.4000000000000012E-2</v>
      </c>
      <c r="AZ59" s="73" t="s">
        <v>73</v>
      </c>
      <c r="BA59" s="22">
        <v>839</v>
      </c>
      <c r="BB59" s="22">
        <v>115.86</v>
      </c>
      <c r="BC59" s="67">
        <v>1.03</v>
      </c>
      <c r="BD59" s="22">
        <v>446.72</v>
      </c>
      <c r="BE59" s="22">
        <v>-973.35</v>
      </c>
      <c r="BF59" s="22">
        <v>-287.33999999999997</v>
      </c>
      <c r="BG59" s="22">
        <v>-281.77</v>
      </c>
      <c r="BH59" s="22">
        <v>-204.91</v>
      </c>
      <c r="BI59" s="22">
        <v>-199.34</v>
      </c>
      <c r="BJ59" s="22">
        <v>-4.0199999999999996</v>
      </c>
      <c r="BK59" s="22">
        <v>-413.77</v>
      </c>
      <c r="BL59" s="22">
        <v>-1.93</v>
      </c>
      <c r="BM59" s="68">
        <v>-21.94</v>
      </c>
    </row>
    <row r="60" spans="1:65">
      <c r="A60" s="66"/>
      <c r="B60"/>
      <c r="C60"/>
      <c r="D60"/>
      <c r="E60"/>
      <c r="F60"/>
      <c r="G60"/>
      <c r="H60" s="69"/>
      <c r="I60"/>
      <c r="J60"/>
      <c r="K60"/>
      <c r="L60"/>
      <c r="M60"/>
      <c r="N60"/>
      <c r="O60"/>
      <c r="P60"/>
      <c r="Q60"/>
      <c r="R60"/>
      <c r="S60"/>
      <c r="T60"/>
      <c r="U60"/>
      <c r="V60" s="66"/>
      <c r="W60"/>
      <c r="X60" s="69"/>
      <c r="Y60"/>
      <c r="Z60"/>
      <c r="AA60"/>
      <c r="AB60"/>
      <c r="AC60"/>
      <c r="AD60"/>
      <c r="AE60"/>
      <c r="AF60"/>
      <c r="AG60"/>
      <c r="AH60"/>
      <c r="AI60"/>
      <c r="AJ60"/>
      <c r="AK60"/>
      <c r="AL60" s="66"/>
      <c r="AM60"/>
      <c r="AN60"/>
      <c r="AO60"/>
      <c r="AP60"/>
      <c r="AQ60"/>
      <c r="AR60"/>
      <c r="AS60"/>
      <c r="AT60" s="69"/>
      <c r="AU60"/>
      <c r="AV60"/>
      <c r="AW60" s="66"/>
      <c r="AX60"/>
      <c r="AY60"/>
      <c r="AZ60" s="69"/>
      <c r="BA60"/>
      <c r="BB60"/>
      <c r="BC60" s="66"/>
      <c r="BD60"/>
      <c r="BE60"/>
      <c r="BF60"/>
      <c r="BG60"/>
      <c r="BH60"/>
      <c r="BI60"/>
      <c r="BJ60"/>
      <c r="BK60"/>
      <c r="BL60"/>
      <c r="BM60" s="69"/>
    </row>
    <row r="61" spans="1:65">
      <c r="A61" s="65">
        <v>6</v>
      </c>
      <c r="B61" s="20" t="s">
        <v>84</v>
      </c>
      <c r="D61" s="19">
        <v>1</v>
      </c>
      <c r="E61" s="22">
        <v>178</v>
      </c>
      <c r="F61" s="22">
        <v>30.9</v>
      </c>
      <c r="G61" s="22">
        <v>2.1</v>
      </c>
      <c r="H61" s="68">
        <v>0.02</v>
      </c>
      <c r="I61" s="23">
        <v>-0.92</v>
      </c>
      <c r="J61" s="24"/>
      <c r="K61" s="23">
        <v>0.25600000000000001</v>
      </c>
      <c r="L61" s="24"/>
      <c r="M61" s="23">
        <v>-5.1999999999999998E-2</v>
      </c>
      <c r="N61" s="24"/>
      <c r="O61" s="23">
        <v>0.309</v>
      </c>
      <c r="P61" s="24"/>
      <c r="Q61" s="23">
        <v>-0.36099999999999999</v>
      </c>
      <c r="R61" s="23">
        <v>7.6999999999999999E-2</v>
      </c>
      <c r="S61" s="23">
        <v>-0.59299999999999997</v>
      </c>
      <c r="T61" s="23">
        <v>0</v>
      </c>
      <c r="U61" s="23">
        <v>0.03</v>
      </c>
      <c r="V61" s="74">
        <v>0.89990000000000003</v>
      </c>
      <c r="W61" s="23">
        <v>9.2000000000000082E-2</v>
      </c>
      <c r="X61" s="70" t="s">
        <v>73</v>
      </c>
      <c r="AL61" s="71">
        <v>6</v>
      </c>
      <c r="AM61" s="64" t="s">
        <v>84</v>
      </c>
      <c r="AN61" s="33">
        <v>1</v>
      </c>
      <c r="AO61" s="34">
        <v>178</v>
      </c>
      <c r="AP61" s="22">
        <v>71.63</v>
      </c>
      <c r="AQ61" s="22">
        <v>40</v>
      </c>
      <c r="AR61" s="22">
        <v>11.5</v>
      </c>
      <c r="AS61" s="34">
        <v>2.1</v>
      </c>
      <c r="AT61" s="72">
        <v>30.9</v>
      </c>
      <c r="AU61" s="33" t="s">
        <v>74</v>
      </c>
      <c r="AV61" s="34">
        <v>0.02</v>
      </c>
      <c r="AW61" s="71">
        <v>0</v>
      </c>
      <c r="AX61" s="35">
        <v>0.89990000000000003</v>
      </c>
      <c r="AY61" s="35">
        <v>9.2000000000000082E-2</v>
      </c>
      <c r="AZ61" s="73" t="s">
        <v>73</v>
      </c>
      <c r="BA61" s="22">
        <v>159.33000000000001</v>
      </c>
      <c r="BB61" s="22">
        <v>48.81</v>
      </c>
      <c r="BC61" s="67">
        <v>1.03</v>
      </c>
      <c r="BD61" s="22">
        <v>-94.22</v>
      </c>
      <c r="BE61" s="22">
        <v>26.2</v>
      </c>
      <c r="BF61" s="22">
        <v>-2.09</v>
      </c>
      <c r="BG61" s="22">
        <v>-3.28</v>
      </c>
      <c r="BH61" s="22">
        <v>16.38</v>
      </c>
      <c r="BI61" s="22">
        <v>15.19</v>
      </c>
      <c r="BJ61" s="22">
        <v>7.87</v>
      </c>
      <c r="BK61" s="22">
        <v>-92.69</v>
      </c>
      <c r="BL61" s="22">
        <v>-0.01</v>
      </c>
      <c r="BM61" s="68">
        <v>4.6900000000000004</v>
      </c>
    </row>
    <row r="62" spans="1:65">
      <c r="A62" s="65">
        <v>6</v>
      </c>
      <c r="B62" s="20" t="s">
        <v>84</v>
      </c>
      <c r="D62" s="19">
        <v>2</v>
      </c>
      <c r="E62" s="22">
        <v>178</v>
      </c>
      <c r="F62" s="22">
        <v>41.3</v>
      </c>
      <c r="G62" s="22">
        <v>3.9</v>
      </c>
      <c r="H62" s="68">
        <v>0.02</v>
      </c>
      <c r="I62" s="23">
        <v>-0.92200000000000004</v>
      </c>
      <c r="J62" s="24"/>
      <c r="K62" s="23">
        <v>0.23899999999999999</v>
      </c>
      <c r="L62" s="24"/>
      <c r="M62" s="23">
        <v>-7.5999999999999998E-2</v>
      </c>
      <c r="N62" s="24"/>
      <c r="O62" s="23">
        <v>0.315</v>
      </c>
      <c r="P62" s="24"/>
      <c r="Q62" s="23">
        <v>-0.39100000000000001</v>
      </c>
      <c r="R62" s="23">
        <v>7.9000000000000001E-2</v>
      </c>
      <c r="S62" s="23">
        <v>-0.64100000000000001</v>
      </c>
      <c r="T62" s="23">
        <v>1E-3</v>
      </c>
      <c r="U62" s="23">
        <v>3.7999999999999999E-2</v>
      </c>
      <c r="V62" s="74">
        <v>0.94430000000000003</v>
      </c>
      <c r="W62" s="23">
        <v>5.1000000000000045E-2</v>
      </c>
      <c r="X62" s="70" t="s">
        <v>73</v>
      </c>
      <c r="AL62" s="71">
        <v>6</v>
      </c>
      <c r="AM62" s="64" t="s">
        <v>84</v>
      </c>
      <c r="AN62" s="33">
        <v>2</v>
      </c>
      <c r="AO62" s="34">
        <v>178</v>
      </c>
      <c r="AP62" s="22">
        <v>73.09</v>
      </c>
      <c r="AQ62" s="22">
        <v>40</v>
      </c>
      <c r="AR62" s="22">
        <v>11.2</v>
      </c>
      <c r="AS62" s="34">
        <v>3.9</v>
      </c>
      <c r="AT62" s="72">
        <v>41.3</v>
      </c>
      <c r="AU62" s="33" t="s">
        <v>74</v>
      </c>
      <c r="AV62" s="34">
        <v>0.02</v>
      </c>
      <c r="AW62" s="71">
        <v>0</v>
      </c>
      <c r="AX62" s="35">
        <v>0.94430000000000003</v>
      </c>
      <c r="AY62" s="35">
        <v>5.1000000000000045E-2</v>
      </c>
      <c r="AZ62" s="73" t="s">
        <v>73</v>
      </c>
      <c r="BA62" s="22">
        <v>283.17</v>
      </c>
      <c r="BB62" s="22">
        <v>66.3</v>
      </c>
      <c r="BC62" s="67">
        <v>1.03</v>
      </c>
      <c r="BD62" s="22">
        <v>-176.68</v>
      </c>
      <c r="BE62" s="22">
        <v>45.79</v>
      </c>
      <c r="BF62" s="22">
        <v>-5.78</v>
      </c>
      <c r="BG62" s="22">
        <v>-8.6300000000000008</v>
      </c>
      <c r="BH62" s="22">
        <v>31.53</v>
      </c>
      <c r="BI62" s="22">
        <v>28.67</v>
      </c>
      <c r="BJ62" s="22">
        <v>15.1</v>
      </c>
      <c r="BK62" s="22">
        <v>-187.27</v>
      </c>
      <c r="BL62" s="22">
        <v>0.25</v>
      </c>
      <c r="BM62" s="68">
        <v>11.25</v>
      </c>
    </row>
    <row r="63" spans="1:65">
      <c r="A63" s="66"/>
      <c r="B63"/>
      <c r="C63"/>
      <c r="D63"/>
      <c r="E63"/>
      <c r="F63"/>
      <c r="G63"/>
      <c r="H63" s="69"/>
      <c r="I63"/>
      <c r="J63"/>
      <c r="K63"/>
      <c r="L63"/>
      <c r="M63"/>
      <c r="N63"/>
      <c r="O63"/>
      <c r="P63"/>
      <c r="Q63"/>
      <c r="R63"/>
      <c r="S63"/>
      <c r="T63"/>
      <c r="U63"/>
      <c r="V63" s="66"/>
      <c r="W63"/>
      <c r="X63" s="69"/>
      <c r="Y63"/>
      <c r="Z63"/>
      <c r="AA63"/>
      <c r="AB63"/>
      <c r="AC63"/>
      <c r="AD63"/>
      <c r="AE63"/>
      <c r="AF63"/>
      <c r="AG63"/>
      <c r="AH63"/>
      <c r="AI63"/>
      <c r="AJ63"/>
      <c r="AK63"/>
      <c r="AL63" s="66"/>
      <c r="AM63"/>
      <c r="AN63"/>
      <c r="AO63"/>
      <c r="AP63"/>
      <c r="AQ63"/>
      <c r="AR63"/>
      <c r="AS63"/>
      <c r="AT63" s="69"/>
      <c r="AU63"/>
      <c r="AV63"/>
      <c r="AW63" s="66"/>
      <c r="AX63"/>
      <c r="AY63"/>
      <c r="AZ63" s="69"/>
      <c r="BA63"/>
      <c r="BB63"/>
      <c r="BC63" s="66"/>
      <c r="BD63"/>
      <c r="BE63"/>
      <c r="BF63"/>
      <c r="BG63"/>
      <c r="BH63"/>
      <c r="BI63"/>
      <c r="BJ63"/>
      <c r="BK63"/>
      <c r="BL63"/>
      <c r="BM63" s="69"/>
    </row>
    <row r="64" spans="1:65">
      <c r="B64" s="20"/>
      <c r="D64" s="19"/>
      <c r="E64" s="22"/>
      <c r="F64" s="22"/>
      <c r="G64" s="22"/>
      <c r="H64" s="22"/>
      <c r="I64" s="23"/>
      <c r="J64" s="24"/>
      <c r="K64" s="23"/>
      <c r="L64" s="24"/>
      <c r="M64" s="23"/>
      <c r="N64" s="24"/>
      <c r="O64" s="23"/>
      <c r="P64" s="24"/>
      <c r="Q64" s="23"/>
      <c r="R64" s="23"/>
      <c r="S64" s="23"/>
      <c r="T64" s="23"/>
      <c r="U64" s="23"/>
      <c r="V64" s="23"/>
      <c r="W64" s="23"/>
      <c r="X64" s="23"/>
      <c r="AO64" s="34"/>
      <c r="AP64" s="22"/>
      <c r="AQ64" s="22"/>
      <c r="AR64" s="22"/>
      <c r="AS64" s="34"/>
      <c r="AT64" s="34"/>
      <c r="AV64" s="34"/>
      <c r="AX64" s="35"/>
      <c r="AY64" s="35"/>
      <c r="AZ64" s="35"/>
      <c r="BA64" s="22"/>
      <c r="BB64" s="22"/>
      <c r="BC64" s="23"/>
      <c r="BD64" s="22"/>
      <c r="BE64" s="22"/>
      <c r="BF64" s="22"/>
      <c r="BG64" s="22"/>
      <c r="BH64" s="22"/>
      <c r="BI64" s="22"/>
      <c r="BJ64" s="22"/>
      <c r="BK64" s="22"/>
      <c r="BL64" s="22"/>
      <c r="BM64" s="22"/>
    </row>
    <row r="65" spans="2:65">
      <c r="B65" s="20"/>
      <c r="D65" s="19"/>
      <c r="E65" s="22"/>
      <c r="F65" s="22"/>
      <c r="G65" s="22"/>
      <c r="H65" s="22"/>
      <c r="I65" s="23"/>
      <c r="J65" s="24"/>
      <c r="K65" s="23"/>
      <c r="L65" s="24"/>
      <c r="M65" s="23"/>
      <c r="N65" s="24"/>
      <c r="O65" s="23"/>
      <c r="P65" s="24"/>
      <c r="Q65" s="23"/>
      <c r="R65" s="23"/>
      <c r="S65" s="23"/>
      <c r="T65" s="23"/>
      <c r="U65" s="23"/>
      <c r="V65" s="23"/>
      <c r="W65" s="23"/>
      <c r="X65" s="23"/>
      <c r="AO65" s="34"/>
      <c r="AP65" s="22"/>
      <c r="AQ65" s="22"/>
      <c r="AR65" s="22"/>
      <c r="AS65" s="34"/>
      <c r="AT65" s="34"/>
      <c r="AV65" s="34"/>
      <c r="AX65" s="35"/>
      <c r="AY65" s="35"/>
      <c r="AZ65" s="35"/>
      <c r="BA65" s="22"/>
      <c r="BB65" s="22"/>
      <c r="BC65" s="23"/>
      <c r="BD65" s="22"/>
      <c r="BE65" s="22"/>
      <c r="BF65" s="22"/>
      <c r="BG65" s="22"/>
      <c r="BH65" s="22"/>
      <c r="BI65" s="22"/>
      <c r="BJ65" s="22"/>
      <c r="BK65" s="22"/>
      <c r="BL65" s="22"/>
      <c r="BM65" s="22"/>
    </row>
    <row r="66" spans="2:65">
      <c r="B66" s="20"/>
      <c r="D66" s="19"/>
      <c r="E66" s="22"/>
      <c r="F66" s="22"/>
      <c r="G66" s="22"/>
      <c r="H66" s="22"/>
      <c r="I66" s="23"/>
      <c r="J66" s="24"/>
      <c r="K66" s="23"/>
      <c r="L66" s="24"/>
      <c r="M66" s="23"/>
      <c r="N66" s="24"/>
      <c r="O66" s="23"/>
      <c r="P66" s="24"/>
      <c r="Q66" s="23"/>
      <c r="R66" s="23"/>
      <c r="S66" s="23"/>
      <c r="T66" s="23"/>
      <c r="U66" s="23"/>
      <c r="V66" s="23"/>
      <c r="W66" s="23"/>
      <c r="X66" s="23"/>
      <c r="AO66" s="34"/>
      <c r="AP66" s="22"/>
      <c r="AQ66" s="22"/>
      <c r="AR66" s="22"/>
      <c r="AS66" s="34"/>
      <c r="AT66" s="34"/>
      <c r="AV66" s="34"/>
      <c r="AX66" s="35"/>
      <c r="AY66" s="35"/>
      <c r="AZ66" s="35"/>
      <c r="BA66" s="22"/>
      <c r="BB66" s="22"/>
      <c r="BC66" s="23"/>
      <c r="BD66" s="22"/>
      <c r="BE66" s="22"/>
      <c r="BF66" s="22"/>
      <c r="BG66" s="22"/>
      <c r="BH66" s="22"/>
      <c r="BI66" s="22"/>
      <c r="BJ66" s="22"/>
      <c r="BK66" s="22"/>
      <c r="BL66" s="22"/>
      <c r="BM66" s="22"/>
    </row>
    <row r="67" spans="2:65">
      <c r="B67" s="20"/>
      <c r="D67" s="19"/>
      <c r="E67" s="22"/>
      <c r="F67" s="22"/>
      <c r="G67" s="22"/>
      <c r="H67" s="22"/>
      <c r="I67" s="23"/>
      <c r="J67" s="24"/>
      <c r="K67" s="23"/>
      <c r="L67" s="24"/>
      <c r="M67" s="23"/>
      <c r="N67" s="24"/>
      <c r="O67" s="23"/>
      <c r="P67" s="24"/>
      <c r="Q67" s="23"/>
      <c r="R67" s="23"/>
      <c r="S67" s="23"/>
      <c r="T67" s="23"/>
      <c r="U67" s="23"/>
      <c r="V67" s="23"/>
      <c r="W67" s="23"/>
      <c r="X67" s="23"/>
      <c r="AO67" s="34"/>
      <c r="AP67" s="22"/>
      <c r="AQ67" s="22"/>
      <c r="AR67" s="22"/>
      <c r="AS67" s="34"/>
      <c r="AT67" s="34"/>
      <c r="AV67" s="34"/>
      <c r="AX67" s="35"/>
      <c r="AY67" s="35"/>
      <c r="AZ67" s="35"/>
      <c r="BA67" s="22"/>
      <c r="BB67" s="22"/>
      <c r="BC67" s="23"/>
      <c r="BD67" s="22"/>
      <c r="BE67" s="22"/>
      <c r="BF67" s="22"/>
      <c r="BG67" s="22"/>
      <c r="BH67" s="22"/>
      <c r="BI67" s="22"/>
      <c r="BJ67" s="22"/>
      <c r="BK67" s="22"/>
      <c r="BL67" s="22"/>
      <c r="BM67" s="22"/>
    </row>
    <row r="68" spans="2:65">
      <c r="B68" s="20"/>
      <c r="D68" s="19"/>
      <c r="E68" s="22"/>
      <c r="F68" s="22"/>
      <c r="G68" s="22"/>
      <c r="H68" s="22"/>
      <c r="I68" s="23"/>
      <c r="J68" s="24"/>
      <c r="K68" s="23"/>
      <c r="L68" s="24"/>
      <c r="M68" s="23"/>
      <c r="N68" s="24"/>
      <c r="O68" s="23"/>
      <c r="P68" s="24"/>
      <c r="Q68" s="23"/>
      <c r="R68" s="23"/>
      <c r="S68" s="23"/>
      <c r="T68" s="23"/>
      <c r="U68" s="23"/>
      <c r="V68" s="23"/>
      <c r="W68" s="23"/>
      <c r="X68" s="23"/>
      <c r="AO68" s="34"/>
      <c r="AP68" s="22"/>
      <c r="AQ68" s="22"/>
      <c r="AR68" s="22"/>
      <c r="AS68" s="34"/>
      <c r="AT68" s="34"/>
      <c r="AV68" s="34"/>
      <c r="AX68" s="35"/>
      <c r="AY68" s="35"/>
      <c r="AZ68" s="35"/>
      <c r="BA68" s="22"/>
      <c r="BB68" s="22"/>
      <c r="BC68" s="23"/>
      <c r="BD68" s="22"/>
      <c r="BE68" s="22"/>
      <c r="BF68" s="22"/>
      <c r="BG68" s="22"/>
      <c r="BH68" s="22"/>
      <c r="BI68" s="22"/>
      <c r="BJ68" s="22"/>
      <c r="BK68" s="22"/>
      <c r="BL68" s="22"/>
      <c r="BM68" s="22"/>
    </row>
    <row r="69" spans="2:65">
      <c r="B69" s="20"/>
      <c r="D69" s="19"/>
      <c r="E69" s="22"/>
      <c r="F69" s="22"/>
      <c r="G69" s="22"/>
      <c r="H69" s="22"/>
      <c r="I69" s="23"/>
      <c r="J69" s="24"/>
      <c r="K69" s="23"/>
      <c r="L69" s="24"/>
      <c r="M69" s="23"/>
      <c r="N69" s="24"/>
      <c r="O69" s="23"/>
      <c r="P69" s="24"/>
      <c r="Q69" s="23"/>
      <c r="R69" s="23"/>
      <c r="S69" s="23"/>
      <c r="T69" s="23"/>
      <c r="U69" s="23"/>
      <c r="V69" s="23"/>
      <c r="W69" s="23"/>
      <c r="X69" s="23"/>
      <c r="AO69" s="34"/>
      <c r="AP69" s="22"/>
      <c r="AQ69" s="22"/>
      <c r="AR69" s="22"/>
      <c r="AS69" s="34"/>
      <c r="AT69" s="34"/>
      <c r="AV69" s="34"/>
      <c r="AX69" s="35"/>
      <c r="AY69" s="35"/>
      <c r="AZ69" s="35"/>
      <c r="BA69" s="22"/>
      <c r="BB69" s="22"/>
      <c r="BC69" s="23"/>
      <c r="BD69" s="22"/>
      <c r="BE69" s="22"/>
      <c r="BF69" s="22"/>
      <c r="BG69" s="22"/>
      <c r="BH69" s="22"/>
      <c r="BI69" s="22"/>
      <c r="BJ69" s="22"/>
      <c r="BK69" s="22"/>
      <c r="BL69" s="22"/>
      <c r="BM69" s="22"/>
    </row>
    <row r="70" spans="2:65">
      <c r="B70" s="20"/>
      <c r="D70" s="19"/>
      <c r="E70" s="22"/>
      <c r="F70" s="22"/>
      <c r="G70" s="22"/>
      <c r="H70" s="22"/>
      <c r="I70" s="23"/>
      <c r="J70" s="24"/>
      <c r="K70" s="23"/>
      <c r="L70" s="24"/>
      <c r="M70" s="23"/>
      <c r="N70" s="24"/>
      <c r="O70" s="23"/>
      <c r="P70" s="24"/>
      <c r="Q70" s="23"/>
      <c r="R70" s="23"/>
      <c r="S70" s="23"/>
      <c r="T70" s="23"/>
      <c r="U70" s="23"/>
      <c r="V70" s="23"/>
      <c r="W70" s="23"/>
      <c r="X70" s="23"/>
      <c r="AO70" s="34"/>
      <c r="AP70" s="22"/>
      <c r="AQ70" s="22"/>
      <c r="AR70" s="22"/>
      <c r="AS70" s="34"/>
      <c r="AT70" s="34"/>
      <c r="AV70" s="34"/>
      <c r="AX70" s="35"/>
      <c r="AY70" s="35"/>
      <c r="AZ70" s="35"/>
      <c r="BA70" s="22"/>
      <c r="BB70" s="22"/>
      <c r="BC70" s="23"/>
      <c r="BD70" s="22"/>
      <c r="BE70" s="22"/>
      <c r="BF70" s="22"/>
      <c r="BG70" s="22"/>
      <c r="BH70" s="22"/>
      <c r="BI70" s="22"/>
      <c r="BJ70" s="22"/>
      <c r="BK70" s="22"/>
      <c r="BL70" s="22"/>
      <c r="BM70" s="22"/>
    </row>
    <row r="71" spans="2:65">
      <c r="B71" s="20"/>
      <c r="D71" s="19"/>
      <c r="E71" s="22"/>
      <c r="F71" s="22"/>
      <c r="G71" s="22"/>
      <c r="H71" s="22"/>
      <c r="I71" s="23"/>
      <c r="J71" s="24"/>
      <c r="K71" s="23"/>
      <c r="L71" s="24"/>
      <c r="M71" s="23"/>
      <c r="N71" s="24"/>
      <c r="O71" s="23"/>
      <c r="P71" s="24"/>
      <c r="Q71" s="23"/>
      <c r="R71" s="23"/>
      <c r="S71" s="23"/>
      <c r="T71" s="23"/>
      <c r="U71" s="23"/>
      <c r="V71" s="23"/>
      <c r="W71" s="23"/>
      <c r="X71" s="23"/>
      <c r="AO71" s="34"/>
      <c r="AP71" s="22"/>
      <c r="AQ71" s="22"/>
      <c r="AR71" s="22"/>
      <c r="AS71" s="34"/>
      <c r="AT71" s="34"/>
      <c r="AV71" s="34"/>
      <c r="AX71" s="35"/>
      <c r="AY71" s="35"/>
      <c r="AZ71" s="35"/>
      <c r="BA71" s="22"/>
      <c r="BB71" s="22"/>
      <c r="BC71" s="23"/>
      <c r="BD71" s="22"/>
      <c r="BE71" s="22"/>
      <c r="BF71" s="22"/>
      <c r="BG71" s="22"/>
      <c r="BH71" s="22"/>
      <c r="BI71" s="22"/>
      <c r="BJ71" s="22"/>
      <c r="BK71" s="22"/>
      <c r="BL71" s="22"/>
      <c r="BM71" s="22"/>
    </row>
    <row r="72" spans="2:65">
      <c r="B72" s="20"/>
      <c r="D72" s="19"/>
      <c r="E72" s="22"/>
      <c r="F72" s="22"/>
      <c r="G72" s="22"/>
      <c r="H72" s="22"/>
      <c r="I72" s="23"/>
      <c r="J72" s="24"/>
      <c r="K72" s="23"/>
      <c r="L72" s="24"/>
      <c r="M72" s="23"/>
      <c r="N72" s="24"/>
      <c r="O72" s="23"/>
      <c r="P72" s="24"/>
      <c r="Q72" s="23"/>
      <c r="R72" s="23"/>
      <c r="S72" s="23"/>
      <c r="T72" s="23"/>
      <c r="U72" s="23"/>
      <c r="V72" s="23"/>
      <c r="W72" s="23"/>
      <c r="X72" s="23"/>
      <c r="AO72" s="34"/>
      <c r="AP72" s="22"/>
      <c r="AQ72" s="22"/>
      <c r="AR72" s="22"/>
      <c r="AS72" s="34"/>
      <c r="AT72" s="34"/>
      <c r="AV72" s="34"/>
      <c r="AX72" s="35"/>
      <c r="AY72" s="35"/>
      <c r="AZ72" s="35"/>
      <c r="BA72" s="22"/>
      <c r="BB72" s="22"/>
      <c r="BC72" s="23"/>
      <c r="BD72" s="22"/>
      <c r="BE72" s="22"/>
      <c r="BF72" s="22"/>
      <c r="BG72" s="22"/>
      <c r="BH72" s="22"/>
      <c r="BI72" s="22"/>
      <c r="BJ72" s="22"/>
      <c r="BK72" s="22"/>
      <c r="BL72" s="22"/>
      <c r="BM72" s="22"/>
    </row>
    <row r="73" spans="2:65">
      <c r="B73" s="20"/>
      <c r="D73" s="19"/>
      <c r="E73" s="22"/>
      <c r="F73" s="22"/>
      <c r="G73" s="22"/>
      <c r="H73" s="22"/>
      <c r="I73" s="23"/>
      <c r="J73" s="24"/>
      <c r="K73" s="23"/>
      <c r="L73" s="24"/>
      <c r="M73" s="23"/>
      <c r="N73" s="24"/>
      <c r="O73" s="23"/>
      <c r="P73" s="24"/>
      <c r="Q73" s="23"/>
      <c r="R73" s="23"/>
      <c r="S73" s="23"/>
      <c r="T73" s="23"/>
      <c r="U73" s="23"/>
      <c r="V73" s="23"/>
      <c r="W73" s="23"/>
      <c r="X73" s="23"/>
      <c r="AO73" s="34"/>
      <c r="AP73" s="22"/>
      <c r="AQ73" s="22"/>
      <c r="AR73" s="22"/>
      <c r="AS73" s="34"/>
      <c r="AT73" s="34"/>
      <c r="AV73" s="34"/>
      <c r="AX73" s="35"/>
      <c r="AY73" s="35"/>
      <c r="AZ73" s="35"/>
      <c r="BA73" s="22"/>
      <c r="BB73" s="22"/>
      <c r="BC73" s="23"/>
      <c r="BD73" s="22"/>
      <c r="BE73" s="22"/>
      <c r="BF73" s="22"/>
      <c r="BG73" s="22"/>
      <c r="BH73" s="22"/>
      <c r="BI73" s="22"/>
      <c r="BJ73" s="22"/>
      <c r="BK73" s="22"/>
      <c r="BL73" s="22"/>
      <c r="BM73" s="22"/>
    </row>
    <row r="74" spans="2:65">
      <c r="B74" s="20"/>
      <c r="D74" s="19"/>
      <c r="E74" s="22"/>
      <c r="F74" s="22"/>
      <c r="G74" s="22"/>
      <c r="H74" s="22"/>
      <c r="I74" s="23"/>
      <c r="J74" s="24"/>
      <c r="K74" s="23"/>
      <c r="L74" s="24"/>
      <c r="M74" s="23"/>
      <c r="N74" s="24"/>
      <c r="O74" s="23"/>
      <c r="P74" s="24"/>
      <c r="Q74" s="23"/>
      <c r="R74" s="23"/>
      <c r="S74" s="23"/>
      <c r="T74" s="23"/>
      <c r="U74" s="23"/>
      <c r="V74" s="23"/>
      <c r="W74" s="23"/>
      <c r="X74" s="23"/>
      <c r="AO74" s="34"/>
      <c r="AP74" s="22"/>
      <c r="AQ74" s="22"/>
      <c r="AR74" s="22"/>
      <c r="AS74" s="34"/>
      <c r="AT74" s="34"/>
      <c r="AV74" s="34"/>
      <c r="AX74" s="35"/>
      <c r="AY74" s="35"/>
      <c r="AZ74" s="35"/>
      <c r="BA74" s="22"/>
      <c r="BB74" s="22"/>
      <c r="BC74" s="23"/>
      <c r="BD74" s="22"/>
      <c r="BE74" s="22"/>
      <c r="BF74" s="22"/>
      <c r="BG74" s="22"/>
      <c r="BH74" s="22"/>
      <c r="BI74" s="22"/>
      <c r="BJ74" s="22"/>
      <c r="BK74" s="22"/>
      <c r="BL74" s="22"/>
      <c r="BM74" s="22"/>
    </row>
    <row r="75" spans="2:65">
      <c r="B75" s="20"/>
      <c r="D75" s="19"/>
      <c r="E75" s="22"/>
      <c r="F75" s="22"/>
      <c r="G75" s="22"/>
      <c r="H75" s="22"/>
      <c r="I75" s="23"/>
      <c r="J75" s="24"/>
      <c r="K75" s="23"/>
      <c r="L75" s="24"/>
      <c r="M75" s="23"/>
      <c r="N75" s="24"/>
      <c r="O75" s="23"/>
      <c r="P75" s="24"/>
      <c r="Q75" s="23"/>
      <c r="R75" s="23"/>
      <c r="S75" s="23"/>
      <c r="T75" s="23"/>
      <c r="U75" s="23"/>
      <c r="V75" s="23"/>
      <c r="W75" s="23"/>
      <c r="X75" s="23"/>
      <c r="AO75" s="34"/>
      <c r="AP75" s="22"/>
      <c r="AQ75" s="22"/>
      <c r="AR75" s="22"/>
      <c r="AS75" s="34"/>
      <c r="AT75" s="34"/>
      <c r="AV75" s="34"/>
      <c r="AX75" s="35"/>
      <c r="AY75" s="35"/>
      <c r="AZ75" s="35"/>
      <c r="BA75" s="22"/>
      <c r="BB75" s="22"/>
      <c r="BC75" s="23"/>
      <c r="BD75" s="22"/>
      <c r="BE75" s="22"/>
      <c r="BF75" s="22"/>
      <c r="BG75" s="22"/>
      <c r="BH75" s="22"/>
      <c r="BI75" s="22"/>
      <c r="BJ75" s="22"/>
      <c r="BK75" s="22"/>
      <c r="BL75" s="22"/>
      <c r="BM75" s="22"/>
    </row>
    <row r="76" spans="2:65">
      <c r="B76" s="20"/>
      <c r="D76" s="19"/>
      <c r="E76" s="22"/>
      <c r="F76" s="22"/>
      <c r="G76" s="22"/>
      <c r="H76" s="22"/>
      <c r="I76" s="23"/>
      <c r="J76" s="24"/>
      <c r="K76" s="23"/>
      <c r="L76" s="24"/>
      <c r="M76" s="23"/>
      <c r="N76" s="24"/>
      <c r="O76" s="23"/>
      <c r="P76" s="24"/>
      <c r="Q76" s="23"/>
      <c r="R76" s="23"/>
      <c r="S76" s="23"/>
      <c r="T76" s="23"/>
      <c r="U76" s="23"/>
      <c r="V76" s="23"/>
      <c r="W76" s="23"/>
      <c r="X76" s="23"/>
      <c r="AO76" s="34"/>
      <c r="AP76" s="22"/>
      <c r="AQ76" s="22"/>
      <c r="AR76" s="22"/>
      <c r="AS76" s="34"/>
      <c r="AT76" s="34"/>
      <c r="AV76" s="34"/>
      <c r="AX76" s="35"/>
      <c r="AY76" s="35"/>
      <c r="AZ76" s="35"/>
      <c r="BA76" s="22"/>
      <c r="BB76" s="22"/>
      <c r="BC76" s="23"/>
      <c r="BD76" s="22"/>
      <c r="BE76" s="22"/>
      <c r="BF76" s="22"/>
      <c r="BG76" s="22"/>
      <c r="BH76" s="22"/>
      <c r="BI76" s="22"/>
      <c r="BJ76" s="22"/>
      <c r="BK76" s="22"/>
      <c r="BL76" s="22"/>
      <c r="BM76" s="22"/>
    </row>
    <row r="77" spans="2:65">
      <c r="B77" s="20"/>
      <c r="D77" s="19"/>
      <c r="E77" s="22"/>
      <c r="F77" s="22"/>
      <c r="G77" s="22"/>
      <c r="H77" s="22"/>
      <c r="I77" s="23"/>
      <c r="J77" s="24"/>
      <c r="K77" s="23"/>
      <c r="L77" s="24"/>
      <c r="M77" s="23"/>
      <c r="N77" s="24"/>
      <c r="O77" s="23"/>
      <c r="P77" s="24"/>
      <c r="Q77" s="23"/>
      <c r="R77" s="23"/>
      <c r="S77" s="23"/>
      <c r="T77" s="23"/>
      <c r="U77" s="23"/>
      <c r="V77" s="23"/>
      <c r="W77" s="23"/>
      <c r="X77" s="23"/>
      <c r="AO77" s="34"/>
      <c r="AP77" s="22"/>
      <c r="AQ77" s="22"/>
      <c r="AR77" s="22"/>
      <c r="AS77" s="34"/>
      <c r="AT77" s="34"/>
      <c r="AV77" s="34"/>
      <c r="AX77" s="35"/>
      <c r="AY77" s="35"/>
      <c r="AZ77" s="35"/>
      <c r="BA77" s="22"/>
      <c r="BB77" s="22"/>
      <c r="BC77" s="23"/>
      <c r="BD77" s="22"/>
      <c r="BE77" s="22"/>
      <c r="BF77" s="22"/>
      <c r="BG77" s="22"/>
      <c r="BH77" s="22"/>
      <c r="BI77" s="22"/>
      <c r="BJ77" s="22"/>
      <c r="BK77" s="22"/>
      <c r="BL77" s="22"/>
      <c r="BM77" s="22"/>
    </row>
    <row r="78" spans="2:65">
      <c r="B78" s="20"/>
      <c r="D78" s="19"/>
      <c r="E78" s="22"/>
      <c r="F78" s="22"/>
      <c r="G78" s="22"/>
      <c r="H78" s="22"/>
      <c r="I78" s="23"/>
      <c r="J78" s="24"/>
      <c r="K78" s="23"/>
      <c r="L78" s="24"/>
      <c r="M78" s="23"/>
      <c r="N78" s="24"/>
      <c r="O78" s="23"/>
      <c r="P78" s="24"/>
      <c r="Q78" s="23"/>
      <c r="R78" s="23"/>
      <c r="S78" s="23"/>
      <c r="T78" s="23"/>
      <c r="U78" s="23"/>
      <c r="V78" s="23"/>
      <c r="W78" s="23"/>
      <c r="X78" s="23"/>
      <c r="AO78" s="34"/>
      <c r="AP78" s="22"/>
      <c r="AQ78" s="22"/>
      <c r="AR78" s="22"/>
      <c r="AS78" s="34"/>
      <c r="AT78" s="34"/>
      <c r="AV78" s="34"/>
      <c r="AX78" s="35"/>
      <c r="AY78" s="35"/>
      <c r="AZ78" s="35"/>
      <c r="BA78" s="22"/>
      <c r="BB78" s="22"/>
      <c r="BC78" s="23"/>
      <c r="BD78" s="22"/>
      <c r="BE78" s="22"/>
      <c r="BF78" s="22"/>
      <c r="BG78" s="22"/>
      <c r="BH78" s="22"/>
      <c r="BI78" s="22"/>
      <c r="BJ78" s="22"/>
      <c r="BK78" s="22"/>
      <c r="BL78" s="22"/>
      <c r="BM78" s="22"/>
    </row>
    <row r="79" spans="2:65">
      <c r="B79" s="20"/>
      <c r="D79" s="19"/>
      <c r="E79" s="22"/>
      <c r="F79" s="22"/>
      <c r="G79" s="22"/>
      <c r="H79" s="22"/>
      <c r="I79" s="23"/>
      <c r="J79" s="24"/>
      <c r="K79" s="23"/>
      <c r="L79" s="24"/>
      <c r="M79" s="23"/>
      <c r="N79" s="24"/>
      <c r="O79" s="23"/>
      <c r="P79" s="24"/>
      <c r="Q79" s="23"/>
      <c r="R79" s="23"/>
      <c r="S79" s="23"/>
      <c r="T79" s="23"/>
      <c r="U79" s="23"/>
      <c r="V79" s="23"/>
      <c r="W79" s="23"/>
      <c r="X79" s="23"/>
      <c r="AO79" s="34"/>
      <c r="AP79" s="22"/>
      <c r="AQ79" s="22"/>
      <c r="AR79" s="22"/>
      <c r="AS79" s="34"/>
      <c r="AT79" s="34"/>
      <c r="AV79" s="34"/>
      <c r="AX79" s="35"/>
      <c r="AY79" s="35"/>
      <c r="AZ79" s="35"/>
      <c r="BA79" s="22"/>
      <c r="BB79" s="22"/>
      <c r="BC79" s="23"/>
      <c r="BD79" s="22"/>
      <c r="BE79" s="22"/>
      <c r="BF79" s="22"/>
      <c r="BG79" s="22"/>
      <c r="BH79" s="22"/>
      <c r="BI79" s="22"/>
      <c r="BJ79" s="22"/>
      <c r="BK79" s="22"/>
      <c r="BL79" s="22"/>
      <c r="BM79" s="22"/>
    </row>
    <row r="80" spans="2:65">
      <c r="B80" s="20"/>
      <c r="D80" s="19"/>
      <c r="E80" s="22"/>
      <c r="F80" s="22"/>
      <c r="G80" s="22"/>
      <c r="H80" s="22"/>
      <c r="I80" s="23"/>
      <c r="J80" s="24"/>
      <c r="K80" s="23"/>
      <c r="L80" s="24"/>
      <c r="M80" s="23"/>
      <c r="N80" s="24"/>
      <c r="O80" s="23"/>
      <c r="P80" s="24"/>
      <c r="Q80" s="23"/>
      <c r="R80" s="23"/>
      <c r="S80" s="23"/>
      <c r="T80" s="23"/>
      <c r="U80" s="23"/>
      <c r="V80" s="23"/>
      <c r="W80" s="23"/>
      <c r="X80" s="23"/>
      <c r="AO80" s="34"/>
      <c r="AP80" s="22"/>
      <c r="AQ80" s="22"/>
      <c r="AR80" s="22"/>
      <c r="AS80" s="34"/>
      <c r="AT80" s="34"/>
      <c r="AV80" s="34"/>
      <c r="AX80" s="35"/>
      <c r="AY80" s="35"/>
      <c r="AZ80" s="35"/>
      <c r="BA80" s="22"/>
      <c r="BB80" s="22"/>
      <c r="BC80" s="23"/>
      <c r="BD80" s="22"/>
      <c r="BE80" s="22"/>
      <c r="BF80" s="22"/>
      <c r="BG80" s="22"/>
      <c r="BH80" s="22"/>
      <c r="BI80" s="22"/>
      <c r="BJ80" s="22"/>
      <c r="BK80" s="22"/>
      <c r="BL80" s="22"/>
      <c r="BM80" s="22"/>
    </row>
    <row r="81" spans="2:65">
      <c r="B81" s="20"/>
      <c r="D81" s="19"/>
      <c r="E81" s="22"/>
      <c r="F81" s="22"/>
      <c r="G81" s="22"/>
      <c r="H81" s="22"/>
      <c r="I81" s="23"/>
      <c r="J81" s="24"/>
      <c r="K81" s="23"/>
      <c r="L81" s="24"/>
      <c r="M81" s="23"/>
      <c r="N81" s="24"/>
      <c r="O81" s="23"/>
      <c r="P81" s="24"/>
      <c r="Q81" s="23"/>
      <c r="R81" s="23"/>
      <c r="S81" s="23"/>
      <c r="T81" s="23"/>
      <c r="U81" s="23"/>
      <c r="V81" s="23"/>
      <c r="W81" s="23"/>
      <c r="X81" s="23"/>
      <c r="AO81" s="34"/>
      <c r="AP81" s="22"/>
      <c r="AQ81" s="22"/>
      <c r="AR81" s="22"/>
      <c r="AS81" s="34"/>
      <c r="AT81" s="34"/>
      <c r="AV81" s="34"/>
      <c r="AX81" s="35"/>
      <c r="AY81" s="35"/>
      <c r="AZ81" s="35"/>
      <c r="BA81" s="22"/>
      <c r="BB81" s="22"/>
      <c r="BC81" s="23"/>
      <c r="BD81" s="22"/>
      <c r="BE81" s="22"/>
      <c r="BF81" s="22"/>
      <c r="BG81" s="22"/>
      <c r="BH81" s="22"/>
      <c r="BI81" s="22"/>
      <c r="BJ81" s="22"/>
      <c r="BK81" s="22"/>
      <c r="BL81" s="22"/>
      <c r="BM81" s="22"/>
    </row>
    <row r="82" spans="2:65">
      <c r="B82" s="20"/>
      <c r="D82" s="19"/>
      <c r="E82" s="22"/>
      <c r="F82" s="22"/>
      <c r="G82" s="22"/>
      <c r="H82" s="22"/>
      <c r="I82" s="23"/>
      <c r="J82" s="24"/>
      <c r="K82" s="23"/>
      <c r="L82" s="24"/>
      <c r="M82" s="23"/>
      <c r="N82" s="24"/>
      <c r="O82" s="23"/>
      <c r="P82" s="24"/>
      <c r="Q82" s="23"/>
      <c r="R82" s="23"/>
      <c r="S82" s="23"/>
      <c r="T82" s="23"/>
      <c r="U82" s="23"/>
      <c r="V82" s="23"/>
      <c r="W82" s="23"/>
      <c r="X82" s="23"/>
      <c r="AO82" s="34"/>
      <c r="AP82" s="22"/>
      <c r="AQ82" s="22"/>
      <c r="AR82" s="22"/>
      <c r="AS82" s="34"/>
      <c r="AT82" s="34"/>
      <c r="AV82" s="34"/>
      <c r="AX82" s="35"/>
      <c r="AY82" s="35"/>
      <c r="AZ82" s="35"/>
      <c r="BA82" s="22"/>
      <c r="BB82" s="22"/>
      <c r="BC82" s="23"/>
      <c r="BD82" s="22"/>
      <c r="BE82" s="22"/>
      <c r="BF82" s="22"/>
      <c r="BG82" s="22"/>
      <c r="BH82" s="22"/>
      <c r="BI82" s="22"/>
      <c r="BJ82" s="22"/>
      <c r="BK82" s="22"/>
      <c r="BL82" s="22"/>
      <c r="BM82" s="22"/>
    </row>
    <row r="83" spans="2:65">
      <c r="B83" s="20"/>
      <c r="D83" s="19"/>
      <c r="E83" s="22"/>
      <c r="F83" s="22"/>
      <c r="G83" s="22"/>
      <c r="H83" s="22"/>
      <c r="I83" s="23"/>
      <c r="J83" s="24"/>
      <c r="K83" s="23"/>
      <c r="L83" s="24"/>
      <c r="M83" s="23"/>
      <c r="N83" s="24"/>
      <c r="O83" s="23"/>
      <c r="P83" s="24"/>
      <c r="Q83" s="23"/>
      <c r="R83" s="23"/>
      <c r="S83" s="23"/>
      <c r="T83" s="23"/>
      <c r="U83" s="23"/>
      <c r="V83" s="23"/>
      <c r="W83" s="23"/>
      <c r="X83" s="23"/>
      <c r="AO83" s="34"/>
      <c r="AP83" s="22"/>
      <c r="AQ83" s="22"/>
      <c r="AR83" s="22"/>
      <c r="AS83" s="34"/>
      <c r="AT83" s="34"/>
      <c r="AV83" s="34"/>
      <c r="AX83" s="35"/>
      <c r="AY83" s="35"/>
      <c r="AZ83" s="35"/>
      <c r="BA83" s="22"/>
      <c r="BB83" s="22"/>
      <c r="BC83" s="23"/>
      <c r="BD83" s="22"/>
      <c r="BE83" s="22"/>
      <c r="BF83" s="22"/>
      <c r="BG83" s="22"/>
      <c r="BH83" s="22"/>
      <c r="BI83" s="22"/>
      <c r="BJ83" s="22"/>
      <c r="BK83" s="22"/>
      <c r="BL83" s="22"/>
      <c r="BM83" s="22"/>
    </row>
    <row r="84" spans="2:65">
      <c r="B84" s="20"/>
      <c r="D84" s="19"/>
      <c r="E84" s="22"/>
      <c r="F84" s="22"/>
      <c r="G84" s="22"/>
      <c r="H84" s="22"/>
      <c r="I84" s="23"/>
      <c r="J84" s="24"/>
      <c r="K84" s="23"/>
      <c r="L84" s="24"/>
      <c r="M84" s="23"/>
      <c r="N84" s="24"/>
      <c r="O84" s="23"/>
      <c r="P84" s="24"/>
      <c r="Q84" s="23"/>
      <c r="R84" s="23"/>
      <c r="S84" s="23"/>
      <c r="T84" s="23"/>
      <c r="U84" s="23"/>
      <c r="V84" s="23"/>
      <c r="W84" s="23"/>
      <c r="X84" s="23"/>
      <c r="AO84" s="34"/>
      <c r="AP84" s="22"/>
      <c r="AQ84" s="22"/>
      <c r="AR84" s="22"/>
      <c r="AS84" s="34"/>
      <c r="AT84" s="34"/>
      <c r="AV84" s="34"/>
      <c r="AX84" s="35"/>
      <c r="AY84" s="35"/>
      <c r="AZ84" s="35"/>
      <c r="BA84" s="22"/>
      <c r="BB84" s="22"/>
      <c r="BC84" s="23"/>
      <c r="BD84" s="22"/>
      <c r="BE84" s="22"/>
      <c r="BF84" s="22"/>
      <c r="BG84" s="22"/>
      <c r="BH84" s="22"/>
      <c r="BI84" s="22"/>
      <c r="BJ84" s="22"/>
      <c r="BK84" s="22"/>
      <c r="BL84" s="22"/>
      <c r="BM84" s="22"/>
    </row>
    <row r="85" spans="2:65">
      <c r="B85" s="20"/>
      <c r="D85" s="19"/>
      <c r="E85" s="22"/>
      <c r="F85" s="22"/>
      <c r="G85" s="22"/>
      <c r="H85" s="22"/>
      <c r="I85" s="23"/>
      <c r="J85" s="24"/>
      <c r="K85" s="23"/>
      <c r="L85" s="24"/>
      <c r="M85" s="23"/>
      <c r="N85" s="24"/>
      <c r="O85" s="23"/>
      <c r="P85" s="24"/>
      <c r="Q85" s="23"/>
      <c r="R85" s="23"/>
      <c r="S85" s="23"/>
      <c r="T85" s="23"/>
      <c r="U85" s="23"/>
      <c r="V85" s="23"/>
      <c r="W85" s="23"/>
      <c r="X85" s="23"/>
      <c r="AO85" s="34"/>
      <c r="AP85" s="22"/>
      <c r="AQ85" s="22"/>
      <c r="AR85" s="22"/>
      <c r="AS85" s="34"/>
      <c r="AT85" s="34"/>
      <c r="AV85" s="34"/>
      <c r="AX85" s="35"/>
      <c r="AY85" s="35"/>
      <c r="AZ85" s="35"/>
      <c r="BA85" s="22"/>
      <c r="BB85" s="22"/>
      <c r="BC85" s="23"/>
      <c r="BD85" s="22"/>
      <c r="BE85" s="22"/>
      <c r="BF85" s="22"/>
      <c r="BG85" s="22"/>
      <c r="BH85" s="22"/>
      <c r="BI85" s="22"/>
      <c r="BJ85" s="22"/>
      <c r="BK85" s="22"/>
      <c r="BL85" s="22"/>
      <c r="BM85" s="22"/>
    </row>
    <row r="86" spans="2:65">
      <c r="B86" s="20"/>
      <c r="D86" s="19"/>
      <c r="E86" s="22"/>
      <c r="F86" s="22"/>
      <c r="G86" s="22"/>
      <c r="H86" s="22"/>
      <c r="I86" s="23"/>
      <c r="J86" s="24"/>
      <c r="K86" s="23"/>
      <c r="L86" s="24"/>
      <c r="M86" s="23"/>
      <c r="N86" s="24"/>
      <c r="O86" s="23"/>
      <c r="P86" s="24"/>
      <c r="Q86" s="23"/>
      <c r="R86" s="23"/>
      <c r="S86" s="23"/>
      <c r="T86" s="23"/>
      <c r="U86" s="23"/>
      <c r="V86" s="23"/>
      <c r="W86" s="23"/>
      <c r="X86" s="23"/>
      <c r="AO86" s="34"/>
      <c r="AP86" s="22"/>
      <c r="AQ86" s="22"/>
      <c r="AR86" s="22"/>
      <c r="AS86" s="34"/>
      <c r="AT86" s="34"/>
      <c r="AV86" s="34"/>
      <c r="AX86" s="35"/>
      <c r="AY86" s="35"/>
      <c r="AZ86" s="35"/>
      <c r="BA86" s="22"/>
      <c r="BB86" s="22"/>
      <c r="BC86" s="23"/>
      <c r="BD86" s="22"/>
      <c r="BE86" s="22"/>
      <c r="BF86" s="22"/>
      <c r="BG86" s="22"/>
      <c r="BH86" s="22"/>
      <c r="BI86" s="22"/>
      <c r="BJ86" s="22"/>
      <c r="BK86" s="22"/>
      <c r="BL86" s="22"/>
      <c r="BM86" s="22"/>
    </row>
    <row r="87" spans="2:65">
      <c r="B87" s="20"/>
      <c r="D87" s="19"/>
      <c r="E87" s="22"/>
      <c r="F87" s="22"/>
      <c r="G87" s="22"/>
      <c r="H87" s="22"/>
      <c r="I87" s="23"/>
      <c r="J87" s="24"/>
      <c r="K87" s="23"/>
      <c r="L87" s="24"/>
      <c r="M87" s="23"/>
      <c r="N87" s="24"/>
      <c r="O87" s="23"/>
      <c r="P87" s="24"/>
      <c r="Q87" s="23"/>
      <c r="R87" s="23"/>
      <c r="S87" s="23"/>
      <c r="T87" s="23"/>
      <c r="U87" s="23"/>
      <c r="V87" s="23"/>
      <c r="W87" s="23"/>
      <c r="X87" s="23"/>
      <c r="AO87" s="34"/>
      <c r="AP87" s="22"/>
      <c r="AQ87" s="22"/>
      <c r="AR87" s="22"/>
      <c r="AS87" s="34"/>
      <c r="AT87" s="34"/>
      <c r="AV87" s="34"/>
      <c r="AX87" s="35"/>
      <c r="AY87" s="35"/>
      <c r="AZ87" s="35"/>
      <c r="BA87" s="22"/>
      <c r="BB87" s="22"/>
      <c r="BC87" s="23"/>
      <c r="BD87" s="22"/>
      <c r="BE87" s="22"/>
      <c r="BF87" s="22"/>
      <c r="BG87" s="22"/>
      <c r="BH87" s="22"/>
      <c r="BI87" s="22"/>
      <c r="BJ87" s="22"/>
      <c r="BK87" s="22"/>
      <c r="BL87" s="22"/>
      <c r="BM87" s="22"/>
    </row>
    <row r="88" spans="2:65">
      <c r="B88" s="20"/>
      <c r="D88" s="19"/>
      <c r="E88" s="22"/>
      <c r="F88" s="22"/>
      <c r="G88" s="22"/>
      <c r="H88" s="22"/>
      <c r="I88" s="23"/>
      <c r="J88" s="24"/>
      <c r="K88" s="23"/>
      <c r="L88" s="24"/>
      <c r="M88" s="23"/>
      <c r="N88" s="24"/>
      <c r="O88" s="23"/>
      <c r="P88" s="24"/>
      <c r="Q88" s="23"/>
      <c r="R88" s="23"/>
      <c r="S88" s="23"/>
      <c r="T88" s="23"/>
      <c r="U88" s="23"/>
      <c r="V88" s="23"/>
      <c r="W88" s="23"/>
      <c r="X88" s="23"/>
      <c r="AO88" s="34"/>
      <c r="AP88" s="22"/>
      <c r="AQ88" s="22"/>
      <c r="AR88" s="22"/>
      <c r="AS88" s="34"/>
      <c r="AT88" s="34"/>
      <c r="AV88" s="34"/>
      <c r="AX88" s="35"/>
      <c r="AY88" s="35"/>
      <c r="AZ88" s="35"/>
      <c r="BA88" s="22"/>
      <c r="BB88" s="22"/>
      <c r="BC88" s="23"/>
      <c r="BD88" s="22"/>
      <c r="BE88" s="22"/>
      <c r="BF88" s="22"/>
      <c r="BG88" s="22"/>
      <c r="BH88" s="22"/>
      <c r="BI88" s="22"/>
      <c r="BJ88" s="22"/>
      <c r="BK88" s="22"/>
      <c r="BL88" s="22"/>
      <c r="BM88" s="22"/>
    </row>
    <row r="89" spans="2:65">
      <c r="B89" s="20"/>
      <c r="D89" s="19"/>
      <c r="E89" s="22"/>
      <c r="F89" s="22"/>
      <c r="G89" s="22"/>
      <c r="H89" s="22"/>
      <c r="I89" s="23"/>
      <c r="J89" s="24"/>
      <c r="K89" s="23"/>
      <c r="L89" s="24"/>
      <c r="M89" s="23"/>
      <c r="N89" s="24"/>
      <c r="O89" s="23"/>
      <c r="P89" s="24"/>
      <c r="Q89" s="23"/>
      <c r="R89" s="23"/>
      <c r="S89" s="23"/>
      <c r="T89" s="23"/>
      <c r="U89" s="23"/>
      <c r="V89" s="23"/>
      <c r="W89" s="23"/>
      <c r="X89" s="23"/>
      <c r="AO89" s="34"/>
      <c r="AP89" s="22"/>
      <c r="AQ89" s="22"/>
      <c r="AR89" s="22"/>
      <c r="AS89" s="34"/>
      <c r="AT89" s="34"/>
      <c r="AV89" s="34"/>
      <c r="AX89" s="35"/>
      <c r="AY89" s="35"/>
      <c r="AZ89" s="35"/>
      <c r="BA89" s="22"/>
      <c r="BB89" s="22"/>
      <c r="BC89" s="23"/>
      <c r="BD89" s="22"/>
      <c r="BE89" s="22"/>
      <c r="BF89" s="22"/>
      <c r="BG89" s="22"/>
      <c r="BH89" s="22"/>
      <c r="BI89" s="22"/>
      <c r="BJ89" s="22"/>
      <c r="BK89" s="22"/>
      <c r="BL89" s="22"/>
      <c r="BM89" s="22"/>
    </row>
    <row r="90" spans="2:65">
      <c r="B90" s="20"/>
      <c r="D90" s="19"/>
      <c r="E90" s="22"/>
      <c r="F90" s="22"/>
      <c r="G90" s="22"/>
      <c r="H90" s="22"/>
      <c r="I90" s="23"/>
      <c r="J90" s="24"/>
      <c r="K90" s="23"/>
      <c r="L90" s="24"/>
      <c r="M90" s="23"/>
      <c r="N90" s="24"/>
      <c r="O90" s="23"/>
      <c r="P90" s="24"/>
      <c r="Q90" s="23"/>
      <c r="R90" s="23"/>
      <c r="S90" s="23"/>
      <c r="T90" s="23"/>
      <c r="U90" s="23"/>
      <c r="V90" s="23"/>
      <c r="W90" s="23"/>
      <c r="X90" s="23"/>
      <c r="AO90" s="34"/>
      <c r="AP90" s="22"/>
      <c r="AQ90" s="22"/>
      <c r="AR90" s="22"/>
      <c r="AS90" s="34"/>
      <c r="AT90" s="34"/>
      <c r="AV90" s="34"/>
      <c r="AX90" s="35"/>
      <c r="AY90" s="35"/>
      <c r="AZ90" s="35"/>
      <c r="BA90" s="22"/>
      <c r="BB90" s="22"/>
      <c r="BC90" s="23"/>
      <c r="BD90" s="22"/>
      <c r="BE90" s="22"/>
      <c r="BF90" s="22"/>
      <c r="BG90" s="22"/>
      <c r="BH90" s="22"/>
      <c r="BI90" s="22"/>
      <c r="BJ90" s="22"/>
      <c r="BK90" s="22"/>
      <c r="BL90" s="22"/>
      <c r="BM90" s="22"/>
    </row>
    <row r="91" spans="2:65">
      <c r="B91" s="20"/>
      <c r="D91" s="19"/>
      <c r="E91" s="22"/>
      <c r="F91" s="22"/>
      <c r="G91" s="22"/>
      <c r="H91" s="22"/>
      <c r="I91" s="23"/>
      <c r="J91" s="24"/>
      <c r="K91" s="23"/>
      <c r="L91" s="24"/>
      <c r="M91" s="23"/>
      <c r="N91" s="24"/>
      <c r="O91" s="23"/>
      <c r="P91" s="24"/>
      <c r="Q91" s="23"/>
      <c r="R91" s="23"/>
      <c r="S91" s="23"/>
      <c r="T91" s="23"/>
      <c r="U91" s="23"/>
      <c r="V91" s="23"/>
      <c r="W91" s="23"/>
      <c r="X91" s="23"/>
      <c r="AO91" s="34"/>
      <c r="AP91" s="22"/>
      <c r="AQ91" s="22"/>
      <c r="AR91" s="22"/>
      <c r="AS91" s="34"/>
      <c r="AT91" s="34"/>
      <c r="AV91" s="34"/>
      <c r="AX91" s="35"/>
      <c r="AY91" s="35"/>
      <c r="AZ91" s="35"/>
      <c r="BA91" s="22"/>
      <c r="BB91" s="22"/>
      <c r="BC91" s="23"/>
      <c r="BD91" s="22"/>
      <c r="BE91" s="22"/>
      <c r="BF91" s="22"/>
      <c r="BG91" s="22"/>
      <c r="BH91" s="22"/>
      <c r="BI91" s="22"/>
      <c r="BJ91" s="22"/>
      <c r="BK91" s="22"/>
      <c r="BL91" s="22"/>
      <c r="BM91" s="22"/>
    </row>
    <row r="92" spans="2:65">
      <c r="B92" s="20"/>
      <c r="D92" s="19"/>
      <c r="E92" s="22"/>
      <c r="F92" s="22"/>
      <c r="G92" s="22"/>
      <c r="H92" s="22"/>
      <c r="I92" s="23"/>
      <c r="J92" s="24"/>
      <c r="K92" s="23"/>
      <c r="L92" s="24"/>
      <c r="M92" s="23"/>
      <c r="N92" s="24"/>
      <c r="O92" s="23"/>
      <c r="P92" s="24"/>
      <c r="Q92" s="23"/>
      <c r="R92" s="23"/>
      <c r="S92" s="23"/>
      <c r="T92" s="23"/>
      <c r="U92" s="23"/>
      <c r="V92" s="23"/>
      <c r="W92" s="23"/>
      <c r="X92" s="23"/>
      <c r="AO92" s="34"/>
      <c r="AP92" s="22"/>
      <c r="AQ92" s="22"/>
      <c r="AR92" s="22"/>
      <c r="AS92" s="34"/>
      <c r="AT92" s="34"/>
      <c r="AV92" s="34"/>
      <c r="AX92" s="35"/>
      <c r="AY92" s="35"/>
      <c r="AZ92" s="35"/>
      <c r="BA92" s="22"/>
      <c r="BB92" s="22"/>
      <c r="BC92" s="23"/>
      <c r="BD92" s="22"/>
      <c r="BE92" s="22"/>
      <c r="BF92" s="22"/>
      <c r="BG92" s="22"/>
      <c r="BH92" s="22"/>
      <c r="BI92" s="22"/>
      <c r="BJ92" s="22"/>
      <c r="BK92" s="22"/>
      <c r="BL92" s="22"/>
      <c r="BM92" s="22"/>
    </row>
    <row r="93" spans="2:65">
      <c r="B93" s="20"/>
      <c r="D93" s="19"/>
      <c r="E93" s="22"/>
      <c r="F93" s="22"/>
      <c r="G93" s="22"/>
      <c r="H93" s="22"/>
      <c r="I93" s="23"/>
      <c r="J93" s="24"/>
      <c r="K93" s="23"/>
      <c r="L93" s="24"/>
      <c r="M93" s="23"/>
      <c r="N93" s="24"/>
      <c r="O93" s="23"/>
      <c r="P93" s="24"/>
      <c r="Q93" s="23"/>
      <c r="R93" s="23"/>
      <c r="S93" s="23"/>
      <c r="T93" s="23"/>
      <c r="U93" s="23"/>
      <c r="V93" s="23"/>
      <c r="W93" s="23"/>
      <c r="X93" s="23"/>
      <c r="AO93" s="34"/>
      <c r="AP93" s="22"/>
      <c r="AQ93" s="22"/>
      <c r="AR93" s="22"/>
      <c r="AS93" s="34"/>
      <c r="AT93" s="34"/>
      <c r="AV93" s="34"/>
      <c r="AX93" s="35"/>
      <c r="AY93" s="35"/>
      <c r="AZ93" s="35"/>
      <c r="BA93" s="22"/>
      <c r="BB93" s="22"/>
      <c r="BC93" s="23"/>
      <c r="BD93" s="22"/>
      <c r="BE93" s="22"/>
      <c r="BF93" s="22"/>
      <c r="BG93" s="22"/>
      <c r="BH93" s="22"/>
      <c r="BI93" s="22"/>
      <c r="BJ93" s="22"/>
      <c r="BK93" s="22"/>
      <c r="BL93" s="22"/>
      <c r="BM93" s="22"/>
    </row>
    <row r="94" spans="2:65">
      <c r="B94" s="20"/>
      <c r="D94" s="19"/>
      <c r="E94" s="22"/>
      <c r="F94" s="22"/>
      <c r="G94" s="22"/>
      <c r="H94" s="22"/>
      <c r="I94" s="23"/>
      <c r="J94" s="24"/>
      <c r="K94" s="23"/>
      <c r="L94" s="24"/>
      <c r="M94" s="23"/>
      <c r="N94" s="24"/>
      <c r="O94" s="23"/>
      <c r="P94" s="24"/>
      <c r="Q94" s="23"/>
      <c r="R94" s="23"/>
      <c r="S94" s="23"/>
      <c r="T94" s="23"/>
      <c r="U94" s="23"/>
      <c r="V94" s="23"/>
      <c r="W94" s="23"/>
      <c r="X94" s="23"/>
      <c r="AO94" s="34"/>
      <c r="AP94" s="22"/>
      <c r="AQ94" s="22"/>
      <c r="AR94" s="22"/>
      <c r="AS94" s="34"/>
      <c r="AT94" s="34"/>
      <c r="AV94" s="34"/>
      <c r="AX94" s="35"/>
      <c r="AY94" s="35"/>
      <c r="AZ94" s="35"/>
      <c r="BA94" s="22"/>
      <c r="BB94" s="22"/>
      <c r="BC94" s="23"/>
      <c r="BD94" s="22"/>
      <c r="BE94" s="22"/>
      <c r="BF94" s="22"/>
      <c r="BG94" s="22"/>
      <c r="BH94" s="22"/>
      <c r="BI94" s="22"/>
      <c r="BJ94" s="22"/>
      <c r="BK94" s="22"/>
      <c r="BL94" s="22"/>
      <c r="BM94" s="22"/>
    </row>
    <row r="95" spans="2:65">
      <c r="B95" s="20"/>
      <c r="D95" s="19"/>
      <c r="E95" s="22"/>
      <c r="F95" s="22"/>
      <c r="G95" s="22"/>
      <c r="H95" s="22"/>
      <c r="I95" s="23"/>
      <c r="J95" s="24"/>
      <c r="K95" s="23"/>
      <c r="L95" s="24"/>
      <c r="M95" s="23"/>
      <c r="N95" s="24"/>
      <c r="O95" s="23"/>
      <c r="P95" s="24"/>
      <c r="Q95" s="23"/>
      <c r="R95" s="23"/>
      <c r="S95" s="23"/>
      <c r="T95" s="23"/>
      <c r="U95" s="23"/>
      <c r="V95" s="23"/>
      <c r="W95" s="23"/>
      <c r="X95" s="23"/>
      <c r="AO95" s="34"/>
      <c r="AP95" s="22"/>
      <c r="AQ95" s="22"/>
      <c r="AR95" s="22"/>
      <c r="AS95" s="34"/>
      <c r="AT95" s="34"/>
      <c r="AV95" s="34"/>
      <c r="AX95" s="35"/>
      <c r="AY95" s="35"/>
      <c r="AZ95" s="35"/>
      <c r="BA95" s="22"/>
      <c r="BB95" s="22"/>
      <c r="BC95" s="23"/>
      <c r="BD95" s="22"/>
      <c r="BE95" s="22"/>
      <c r="BF95" s="22"/>
      <c r="BG95" s="22"/>
      <c r="BH95" s="22"/>
      <c r="BI95" s="22"/>
      <c r="BJ95" s="22"/>
      <c r="BK95" s="22"/>
      <c r="BL95" s="22"/>
      <c r="BM95" s="22"/>
    </row>
    <row r="96" spans="2:65">
      <c r="B96" s="20"/>
      <c r="D96" s="19"/>
      <c r="E96" s="22"/>
      <c r="F96" s="22"/>
      <c r="G96" s="22"/>
      <c r="H96" s="22"/>
      <c r="I96" s="23"/>
      <c r="J96" s="24"/>
      <c r="K96" s="23"/>
      <c r="L96" s="24"/>
      <c r="M96" s="23"/>
      <c r="N96" s="24"/>
      <c r="O96" s="23"/>
      <c r="P96" s="24"/>
      <c r="Q96" s="23"/>
      <c r="R96" s="23"/>
      <c r="S96" s="23"/>
      <c r="T96" s="23"/>
      <c r="U96" s="23"/>
      <c r="V96" s="23"/>
      <c r="W96" s="23"/>
      <c r="X96" s="23"/>
      <c r="AO96" s="34"/>
      <c r="AP96" s="22"/>
      <c r="AQ96" s="22"/>
      <c r="AR96" s="22"/>
      <c r="AS96" s="34"/>
      <c r="AT96" s="34"/>
      <c r="AV96" s="34"/>
      <c r="AX96" s="35"/>
      <c r="AY96" s="35"/>
      <c r="AZ96" s="35"/>
      <c r="BA96" s="22"/>
      <c r="BB96" s="22"/>
      <c r="BC96" s="23"/>
      <c r="BD96" s="22"/>
      <c r="BE96" s="22"/>
      <c r="BF96" s="22"/>
      <c r="BG96" s="22"/>
      <c r="BH96" s="22"/>
      <c r="BI96" s="22"/>
      <c r="BJ96" s="22"/>
      <c r="BK96" s="22"/>
      <c r="BL96" s="22"/>
      <c r="BM96" s="22"/>
    </row>
    <row r="97" spans="2:65">
      <c r="B97" s="20"/>
      <c r="D97" s="19"/>
      <c r="E97" s="22"/>
      <c r="F97" s="22"/>
      <c r="G97" s="22"/>
      <c r="H97" s="22"/>
      <c r="I97" s="23"/>
      <c r="J97" s="24"/>
      <c r="K97" s="23"/>
      <c r="L97" s="24"/>
      <c r="M97" s="23"/>
      <c r="N97" s="24"/>
      <c r="O97" s="23"/>
      <c r="P97" s="24"/>
      <c r="Q97" s="23"/>
      <c r="R97" s="23"/>
      <c r="S97" s="23"/>
      <c r="T97" s="23"/>
      <c r="U97" s="23"/>
      <c r="V97" s="23"/>
      <c r="W97" s="23"/>
      <c r="X97" s="23"/>
      <c r="AO97" s="34"/>
      <c r="AP97" s="22"/>
      <c r="AQ97" s="22"/>
      <c r="AR97" s="22"/>
      <c r="AS97" s="34"/>
      <c r="AT97" s="34"/>
      <c r="AV97" s="34"/>
      <c r="AX97" s="35"/>
      <c r="AY97" s="35"/>
      <c r="AZ97" s="35"/>
      <c r="BA97" s="22"/>
      <c r="BB97" s="22"/>
      <c r="BC97" s="23"/>
      <c r="BD97" s="22"/>
      <c r="BE97" s="22"/>
      <c r="BF97" s="22"/>
      <c r="BG97" s="22"/>
      <c r="BH97" s="22"/>
      <c r="BI97" s="22"/>
      <c r="BJ97" s="22"/>
      <c r="BK97" s="22"/>
      <c r="BL97" s="22"/>
      <c r="BM97" s="22"/>
    </row>
    <row r="98" spans="2:65">
      <c r="B98" s="20"/>
      <c r="D98" s="19"/>
      <c r="E98" s="22"/>
      <c r="F98" s="22"/>
      <c r="G98" s="22"/>
      <c r="H98" s="22"/>
      <c r="I98" s="23"/>
      <c r="J98" s="24"/>
      <c r="K98" s="23"/>
      <c r="L98" s="24"/>
      <c r="M98" s="23"/>
      <c r="N98" s="24"/>
      <c r="O98" s="23"/>
      <c r="P98" s="24"/>
      <c r="Q98" s="23"/>
      <c r="R98" s="23"/>
      <c r="S98" s="23"/>
      <c r="T98" s="23"/>
      <c r="U98" s="23"/>
      <c r="V98" s="23"/>
      <c r="W98" s="23"/>
      <c r="X98" s="23"/>
      <c r="AO98" s="34"/>
      <c r="AP98" s="22"/>
      <c r="AQ98" s="22"/>
      <c r="AR98" s="22"/>
      <c r="AS98" s="34"/>
      <c r="AT98" s="34"/>
      <c r="AV98" s="34"/>
      <c r="AX98" s="35"/>
      <c r="AY98" s="35"/>
      <c r="AZ98" s="35"/>
      <c r="BA98" s="22"/>
      <c r="BB98" s="22"/>
      <c r="BC98" s="23"/>
      <c r="BD98" s="22"/>
      <c r="BE98" s="22"/>
      <c r="BF98" s="22"/>
      <c r="BG98" s="22"/>
      <c r="BH98" s="22"/>
      <c r="BI98" s="22"/>
      <c r="BJ98" s="22"/>
      <c r="BK98" s="22"/>
      <c r="BL98" s="22"/>
      <c r="BM98" s="22"/>
    </row>
    <row r="99" spans="2:65">
      <c r="B99" s="20"/>
      <c r="D99" s="19"/>
      <c r="E99" s="22"/>
      <c r="F99" s="22"/>
      <c r="G99" s="22"/>
      <c r="H99" s="22"/>
      <c r="I99" s="23"/>
      <c r="J99" s="24"/>
      <c r="K99" s="23"/>
      <c r="L99" s="24"/>
      <c r="M99" s="23"/>
      <c r="N99" s="24"/>
      <c r="O99" s="23"/>
      <c r="P99" s="24"/>
      <c r="Q99" s="23"/>
      <c r="R99" s="23"/>
      <c r="S99" s="23"/>
      <c r="T99" s="23"/>
      <c r="U99" s="23"/>
      <c r="V99" s="23"/>
      <c r="W99" s="23"/>
      <c r="X99" s="23"/>
      <c r="AO99" s="34"/>
      <c r="AP99" s="22"/>
      <c r="AQ99" s="22"/>
      <c r="AR99" s="22"/>
      <c r="AS99" s="34"/>
      <c r="AT99" s="34"/>
      <c r="AV99" s="34"/>
      <c r="AX99" s="35"/>
      <c r="AY99" s="35"/>
      <c r="AZ99" s="35"/>
      <c r="BA99" s="22"/>
      <c r="BB99" s="22"/>
      <c r="BC99" s="23"/>
      <c r="BD99" s="22"/>
      <c r="BE99" s="22"/>
      <c r="BF99" s="22"/>
      <c r="BG99" s="22"/>
      <c r="BH99" s="22"/>
      <c r="BI99" s="22"/>
      <c r="BJ99" s="22"/>
      <c r="BK99" s="22"/>
      <c r="BL99" s="22"/>
      <c r="BM99" s="22"/>
    </row>
    <row r="100" spans="2:65">
      <c r="B100" s="20"/>
      <c r="D100" s="19"/>
      <c r="E100" s="22"/>
      <c r="F100" s="22"/>
      <c r="G100" s="22"/>
      <c r="H100" s="22"/>
      <c r="I100" s="23"/>
      <c r="J100" s="24"/>
      <c r="K100" s="23"/>
      <c r="L100" s="24"/>
      <c r="M100" s="23"/>
      <c r="N100" s="24"/>
      <c r="O100" s="23"/>
      <c r="P100" s="24"/>
      <c r="Q100" s="23"/>
      <c r="R100" s="23"/>
      <c r="S100" s="23"/>
      <c r="T100" s="23"/>
      <c r="U100" s="23"/>
      <c r="V100" s="23"/>
      <c r="W100" s="23"/>
      <c r="X100" s="23"/>
      <c r="AO100" s="34"/>
      <c r="AP100" s="22"/>
      <c r="AQ100" s="22"/>
      <c r="AR100" s="22"/>
      <c r="AS100" s="34"/>
      <c r="AT100" s="34"/>
      <c r="AV100" s="34"/>
      <c r="AX100" s="35"/>
      <c r="AY100" s="35"/>
      <c r="AZ100" s="35"/>
      <c r="BA100" s="22"/>
      <c r="BB100" s="22"/>
      <c r="BC100" s="23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</row>
    <row r="101" spans="2:65">
      <c r="B101" s="20"/>
      <c r="D101" s="19"/>
      <c r="E101" s="22"/>
      <c r="F101" s="22"/>
      <c r="G101" s="22"/>
      <c r="H101" s="22"/>
      <c r="I101" s="23"/>
      <c r="J101" s="24"/>
      <c r="K101" s="23"/>
      <c r="L101" s="24"/>
      <c r="M101" s="23"/>
      <c r="N101" s="24"/>
      <c r="O101" s="23"/>
      <c r="P101" s="24"/>
      <c r="Q101" s="23"/>
      <c r="R101" s="23"/>
      <c r="S101" s="23"/>
      <c r="T101" s="23"/>
      <c r="U101" s="23"/>
      <c r="V101" s="23"/>
      <c r="W101" s="23"/>
      <c r="X101" s="23"/>
      <c r="AO101" s="34"/>
      <c r="AP101" s="22"/>
      <c r="AQ101" s="22"/>
      <c r="AR101" s="22"/>
      <c r="AS101" s="34"/>
      <c r="AT101" s="34"/>
      <c r="AV101" s="34"/>
      <c r="AX101" s="35"/>
      <c r="AY101" s="35"/>
      <c r="AZ101" s="35"/>
      <c r="BA101" s="22"/>
      <c r="BB101" s="22"/>
      <c r="BC101" s="23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</row>
    <row r="102" spans="2:65">
      <c r="B102" s="20"/>
      <c r="D102" s="19"/>
      <c r="E102" s="22"/>
      <c r="F102" s="22"/>
      <c r="G102" s="22"/>
      <c r="H102" s="22"/>
      <c r="I102" s="23"/>
      <c r="J102" s="24"/>
      <c r="K102" s="23"/>
      <c r="L102" s="24"/>
      <c r="M102" s="23"/>
      <c r="N102" s="24"/>
      <c r="O102" s="23"/>
      <c r="P102" s="24"/>
      <c r="Q102" s="23"/>
      <c r="R102" s="23"/>
      <c r="S102" s="23"/>
      <c r="T102" s="23"/>
      <c r="U102" s="23"/>
      <c r="V102" s="23"/>
      <c r="W102" s="23"/>
      <c r="X102" s="23"/>
      <c r="AO102" s="34"/>
      <c r="AP102" s="22"/>
      <c r="AQ102" s="22"/>
      <c r="AR102" s="22"/>
      <c r="AS102" s="34"/>
      <c r="AT102" s="34"/>
      <c r="AV102" s="34"/>
      <c r="AX102" s="35"/>
      <c r="AY102" s="35"/>
      <c r="AZ102" s="35"/>
      <c r="BA102" s="22"/>
      <c r="BB102" s="22"/>
      <c r="BC102" s="23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</row>
    <row r="103" spans="2:65">
      <c r="B103" s="20"/>
      <c r="D103" s="19"/>
      <c r="E103" s="22"/>
      <c r="F103" s="22"/>
      <c r="G103" s="22"/>
      <c r="H103" s="22"/>
      <c r="I103" s="23"/>
      <c r="J103" s="24"/>
      <c r="K103" s="23"/>
      <c r="L103" s="24"/>
      <c r="M103" s="23"/>
      <c r="N103" s="24"/>
      <c r="O103" s="23"/>
      <c r="P103" s="24"/>
      <c r="Q103" s="23"/>
      <c r="R103" s="23"/>
      <c r="S103" s="23"/>
      <c r="T103" s="23"/>
      <c r="U103" s="23"/>
      <c r="V103" s="23"/>
      <c r="W103" s="23"/>
      <c r="X103" s="23"/>
      <c r="AO103" s="34"/>
      <c r="AP103" s="22"/>
      <c r="AQ103" s="22"/>
      <c r="AR103" s="22"/>
      <c r="AS103" s="34"/>
      <c r="AT103" s="34"/>
      <c r="AV103" s="34"/>
      <c r="AX103" s="35"/>
      <c r="AY103" s="35"/>
      <c r="AZ103" s="35"/>
      <c r="BA103" s="22"/>
      <c r="BB103" s="22"/>
      <c r="BC103" s="23"/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</row>
    <row r="104" spans="2:65">
      <c r="B104" s="20"/>
      <c r="D104" s="19"/>
      <c r="E104" s="22"/>
      <c r="F104" s="22"/>
      <c r="G104" s="22"/>
      <c r="H104" s="22"/>
      <c r="I104" s="23"/>
      <c r="J104" s="24"/>
      <c r="K104" s="23"/>
      <c r="L104" s="24"/>
      <c r="M104" s="23"/>
      <c r="N104" s="24"/>
      <c r="O104" s="23"/>
      <c r="P104" s="24"/>
      <c r="Q104" s="23"/>
      <c r="R104" s="23"/>
      <c r="S104" s="23"/>
      <c r="T104" s="23"/>
      <c r="U104" s="23"/>
      <c r="V104" s="23"/>
      <c r="W104" s="23"/>
      <c r="X104" s="23"/>
      <c r="AO104" s="34"/>
      <c r="AP104" s="22"/>
      <c r="AQ104" s="22"/>
      <c r="AR104" s="22"/>
      <c r="AS104" s="34"/>
      <c r="AT104" s="34"/>
      <c r="AV104" s="34"/>
      <c r="AX104" s="35"/>
      <c r="AY104" s="35"/>
      <c r="AZ104" s="35"/>
      <c r="BA104" s="22"/>
      <c r="BB104" s="22"/>
      <c r="BC104" s="23"/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</row>
    <row r="105" spans="2:65">
      <c r="B105" s="20"/>
      <c r="D105" s="19"/>
      <c r="E105" s="22"/>
      <c r="F105" s="22"/>
      <c r="G105" s="22"/>
      <c r="H105" s="22"/>
      <c r="I105" s="23"/>
      <c r="J105" s="24"/>
      <c r="K105" s="23"/>
      <c r="L105" s="24"/>
      <c r="M105" s="23"/>
      <c r="N105" s="24"/>
      <c r="O105" s="23"/>
      <c r="P105" s="24"/>
      <c r="Q105" s="23"/>
      <c r="R105" s="23"/>
      <c r="S105" s="23"/>
      <c r="T105" s="23"/>
      <c r="U105" s="23"/>
      <c r="V105" s="23"/>
      <c r="W105" s="23"/>
      <c r="X105" s="23"/>
      <c r="AO105" s="34"/>
      <c r="AP105" s="22"/>
      <c r="AQ105" s="22"/>
      <c r="AR105" s="22"/>
      <c r="AS105" s="34"/>
      <c r="AT105" s="34"/>
      <c r="AV105" s="34"/>
      <c r="AX105" s="35"/>
      <c r="AY105" s="35"/>
      <c r="AZ105" s="35"/>
      <c r="BA105" s="22"/>
      <c r="BB105" s="22"/>
      <c r="BC105" s="23"/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</row>
    <row r="106" spans="2:65">
      <c r="B106" s="20"/>
      <c r="D106" s="19"/>
      <c r="E106" s="22"/>
      <c r="F106" s="22"/>
      <c r="G106" s="22"/>
      <c r="H106" s="22"/>
      <c r="I106" s="23"/>
      <c r="J106" s="24"/>
      <c r="K106" s="23"/>
      <c r="L106" s="24"/>
      <c r="M106" s="23"/>
      <c r="N106" s="24"/>
      <c r="O106" s="23"/>
      <c r="P106" s="24"/>
      <c r="Q106" s="23"/>
      <c r="R106" s="23"/>
      <c r="S106" s="23"/>
      <c r="T106" s="23"/>
      <c r="U106" s="23"/>
      <c r="V106" s="23"/>
      <c r="W106" s="23"/>
      <c r="X106" s="23"/>
      <c r="AO106" s="34"/>
      <c r="AP106" s="22"/>
      <c r="AQ106" s="22"/>
      <c r="AR106" s="22"/>
      <c r="AS106" s="34"/>
      <c r="AT106" s="34"/>
      <c r="AV106" s="34"/>
      <c r="AX106" s="35"/>
      <c r="AY106" s="35"/>
      <c r="AZ106" s="35"/>
      <c r="BA106" s="22"/>
      <c r="BB106" s="22"/>
      <c r="BC106" s="23"/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</row>
    <row r="107" spans="2:65">
      <c r="B107" s="20"/>
      <c r="D107" s="19"/>
      <c r="E107" s="22"/>
      <c r="F107" s="22"/>
      <c r="G107" s="22"/>
      <c r="H107" s="22"/>
      <c r="I107" s="23"/>
      <c r="J107" s="24"/>
      <c r="K107" s="23"/>
      <c r="L107" s="24"/>
      <c r="M107" s="23"/>
      <c r="N107" s="24"/>
      <c r="O107" s="23"/>
      <c r="P107" s="24"/>
      <c r="Q107" s="23"/>
      <c r="R107" s="23"/>
      <c r="S107" s="23"/>
      <c r="T107" s="23"/>
      <c r="U107" s="23"/>
      <c r="V107" s="23"/>
      <c r="W107" s="23"/>
      <c r="X107" s="23"/>
      <c r="AO107" s="34"/>
      <c r="AP107" s="22"/>
      <c r="AQ107" s="22"/>
      <c r="AR107" s="22"/>
      <c r="AS107" s="34"/>
      <c r="AT107" s="34"/>
      <c r="AV107" s="34"/>
      <c r="AX107" s="35"/>
      <c r="AY107" s="35"/>
      <c r="AZ107" s="35"/>
      <c r="BA107" s="22"/>
      <c r="BB107" s="22"/>
      <c r="BC107" s="23"/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</row>
    <row r="108" spans="2:65">
      <c r="B108" s="20"/>
      <c r="D108" s="19"/>
      <c r="E108" s="22"/>
      <c r="F108" s="22"/>
      <c r="G108" s="22"/>
      <c r="H108" s="22"/>
      <c r="I108" s="23"/>
      <c r="J108" s="24"/>
      <c r="K108" s="23"/>
      <c r="L108" s="24"/>
      <c r="M108" s="23"/>
      <c r="N108" s="24"/>
      <c r="O108" s="23"/>
      <c r="P108" s="24"/>
      <c r="Q108" s="23"/>
      <c r="R108" s="23"/>
      <c r="S108" s="23"/>
      <c r="T108" s="23"/>
      <c r="U108" s="23"/>
      <c r="V108" s="23"/>
      <c r="W108" s="23"/>
      <c r="X108" s="23"/>
      <c r="AO108" s="34"/>
      <c r="AP108" s="22"/>
      <c r="AQ108" s="22"/>
      <c r="AR108" s="22"/>
      <c r="AS108" s="34"/>
      <c r="AT108" s="34"/>
      <c r="AV108" s="34"/>
      <c r="AX108" s="35"/>
      <c r="AY108" s="35"/>
      <c r="AZ108" s="35"/>
      <c r="BA108" s="22"/>
      <c r="BB108" s="22"/>
      <c r="BC108" s="23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</row>
    <row r="109" spans="2:65">
      <c r="B109" s="20"/>
      <c r="D109" s="19"/>
      <c r="E109" s="22"/>
      <c r="F109" s="22"/>
      <c r="G109" s="22"/>
      <c r="H109" s="22"/>
      <c r="I109" s="23"/>
      <c r="J109" s="24"/>
      <c r="K109" s="23"/>
      <c r="L109" s="24"/>
      <c r="M109" s="23"/>
      <c r="N109" s="24"/>
      <c r="O109" s="23"/>
      <c r="P109" s="24"/>
      <c r="Q109" s="23"/>
      <c r="R109" s="23"/>
      <c r="S109" s="23"/>
      <c r="T109" s="23"/>
      <c r="U109" s="23"/>
      <c r="V109" s="23"/>
      <c r="W109" s="23"/>
      <c r="X109" s="23"/>
      <c r="AO109" s="34"/>
      <c r="AP109" s="22"/>
      <c r="AQ109" s="22"/>
      <c r="AR109" s="22"/>
      <c r="AS109" s="34"/>
      <c r="AT109" s="34"/>
      <c r="AV109" s="34"/>
      <c r="AX109" s="35"/>
      <c r="AY109" s="35"/>
      <c r="AZ109" s="35"/>
      <c r="BA109" s="22"/>
      <c r="BB109" s="22"/>
      <c r="BC109" s="23"/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</row>
    <row r="110" spans="2:65">
      <c r="B110" s="20"/>
      <c r="D110" s="19"/>
      <c r="E110" s="22"/>
      <c r="F110" s="22"/>
      <c r="G110" s="22"/>
      <c r="H110" s="22"/>
      <c r="I110" s="23"/>
      <c r="J110" s="24"/>
      <c r="K110" s="23"/>
      <c r="L110" s="24"/>
      <c r="M110" s="23"/>
      <c r="N110" s="24"/>
      <c r="O110" s="23"/>
      <c r="P110" s="24"/>
      <c r="Q110" s="23"/>
      <c r="R110" s="23"/>
      <c r="S110" s="23"/>
      <c r="T110" s="23"/>
      <c r="U110" s="23"/>
      <c r="V110" s="23"/>
      <c r="W110" s="23"/>
      <c r="X110" s="23"/>
      <c r="AO110" s="34"/>
      <c r="AP110" s="22"/>
      <c r="AQ110" s="22"/>
      <c r="AR110" s="22"/>
      <c r="AS110" s="34"/>
      <c r="AT110" s="34"/>
      <c r="AV110" s="34"/>
      <c r="AX110" s="35"/>
      <c r="AY110" s="35"/>
      <c r="AZ110" s="35"/>
      <c r="BA110" s="22"/>
      <c r="BB110" s="22"/>
      <c r="BC110" s="23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</row>
    <row r="111" spans="2:65">
      <c r="B111" s="20"/>
      <c r="D111" s="19"/>
      <c r="E111" s="22"/>
      <c r="F111" s="22"/>
      <c r="G111" s="22"/>
      <c r="H111" s="22"/>
      <c r="I111" s="23"/>
      <c r="J111" s="24"/>
      <c r="K111" s="23"/>
      <c r="L111" s="24"/>
      <c r="M111" s="23"/>
      <c r="N111" s="24"/>
      <c r="O111" s="23"/>
      <c r="P111" s="24"/>
      <c r="Q111" s="23"/>
      <c r="R111" s="23"/>
      <c r="S111" s="23"/>
      <c r="T111" s="23"/>
      <c r="U111" s="23"/>
      <c r="V111" s="23"/>
      <c r="W111" s="23"/>
      <c r="X111" s="23"/>
      <c r="AO111" s="34"/>
      <c r="AP111" s="22"/>
      <c r="AQ111" s="22"/>
      <c r="AR111" s="22"/>
      <c r="AS111" s="34"/>
      <c r="AT111" s="34"/>
      <c r="AV111" s="34"/>
      <c r="AX111" s="35"/>
      <c r="AY111" s="35"/>
      <c r="AZ111" s="35"/>
      <c r="BA111" s="22"/>
      <c r="BB111" s="22"/>
      <c r="BC111" s="23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</row>
    <row r="112" spans="2:65">
      <c r="B112" s="20"/>
      <c r="D112" s="19"/>
      <c r="E112" s="22"/>
      <c r="F112" s="22"/>
      <c r="G112" s="22"/>
      <c r="H112" s="22"/>
      <c r="I112" s="23"/>
      <c r="J112" s="24"/>
      <c r="K112" s="23"/>
      <c r="L112" s="24"/>
      <c r="M112" s="23"/>
      <c r="N112" s="24"/>
      <c r="O112" s="23"/>
      <c r="P112" s="24"/>
      <c r="Q112" s="23"/>
      <c r="R112" s="23"/>
      <c r="S112" s="23"/>
      <c r="T112" s="23"/>
      <c r="U112" s="23"/>
      <c r="V112" s="23"/>
      <c r="W112" s="23"/>
      <c r="X112" s="23"/>
      <c r="AO112" s="34"/>
      <c r="AP112" s="22"/>
      <c r="AQ112" s="22"/>
      <c r="AR112" s="22"/>
      <c r="AS112" s="34"/>
      <c r="AT112" s="34"/>
      <c r="AV112" s="34"/>
      <c r="AX112" s="35"/>
      <c r="AY112" s="35"/>
      <c r="AZ112" s="35"/>
      <c r="BA112" s="22"/>
      <c r="BB112" s="22"/>
      <c r="BC112" s="23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</row>
    <row r="113" spans="2:65">
      <c r="B113" s="20"/>
      <c r="D113" s="19"/>
      <c r="E113" s="22"/>
      <c r="F113" s="22"/>
      <c r="G113" s="22"/>
      <c r="H113" s="22"/>
      <c r="I113" s="23"/>
      <c r="J113" s="24"/>
      <c r="K113" s="23"/>
      <c r="L113" s="24"/>
      <c r="M113" s="23"/>
      <c r="N113" s="24"/>
      <c r="O113" s="23"/>
      <c r="P113" s="24"/>
      <c r="Q113" s="23"/>
      <c r="R113" s="23"/>
      <c r="S113" s="23"/>
      <c r="T113" s="23"/>
      <c r="U113" s="23"/>
      <c r="V113" s="23"/>
      <c r="W113" s="23"/>
      <c r="X113" s="23"/>
      <c r="AO113" s="34"/>
      <c r="AP113" s="22"/>
      <c r="AQ113" s="22"/>
      <c r="AR113" s="22"/>
      <c r="AS113" s="34"/>
      <c r="AT113" s="34"/>
      <c r="AV113" s="34"/>
      <c r="AX113" s="35"/>
      <c r="AY113" s="35"/>
      <c r="AZ113" s="35"/>
      <c r="BA113" s="22"/>
      <c r="BB113" s="22"/>
      <c r="BC113" s="23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</row>
    <row r="114" spans="2:65">
      <c r="B114" s="20"/>
      <c r="D114" s="19"/>
      <c r="E114" s="22"/>
      <c r="F114" s="22"/>
      <c r="G114" s="22"/>
      <c r="H114" s="22"/>
      <c r="I114" s="23"/>
      <c r="J114" s="24"/>
      <c r="K114" s="23"/>
      <c r="L114" s="24"/>
      <c r="M114" s="23"/>
      <c r="N114" s="24"/>
      <c r="O114" s="23"/>
      <c r="P114" s="24"/>
      <c r="Q114" s="23"/>
      <c r="R114" s="23"/>
      <c r="S114" s="23"/>
      <c r="T114" s="23"/>
      <c r="U114" s="23"/>
      <c r="V114" s="23"/>
      <c r="W114" s="23"/>
      <c r="X114" s="23"/>
      <c r="AO114" s="34"/>
      <c r="AP114" s="22"/>
      <c r="AQ114" s="22"/>
      <c r="AR114" s="22"/>
      <c r="AS114" s="34"/>
      <c r="AT114" s="34"/>
      <c r="AV114" s="34"/>
      <c r="AX114" s="35"/>
      <c r="AY114" s="35"/>
      <c r="AZ114" s="35"/>
      <c r="BA114" s="22"/>
      <c r="BB114" s="22"/>
      <c r="BC114" s="23"/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</row>
    <row r="115" spans="2:65">
      <c r="B115" s="20"/>
      <c r="D115" s="19"/>
      <c r="E115" s="22"/>
      <c r="F115" s="22"/>
      <c r="G115" s="22"/>
      <c r="H115" s="22"/>
      <c r="I115" s="23"/>
      <c r="J115" s="24"/>
      <c r="K115" s="23"/>
      <c r="L115" s="24"/>
      <c r="M115" s="23"/>
      <c r="N115" s="24"/>
      <c r="O115" s="23"/>
      <c r="P115" s="24"/>
      <c r="Q115" s="23"/>
      <c r="R115" s="23"/>
      <c r="S115" s="23"/>
      <c r="T115" s="23"/>
      <c r="U115" s="23"/>
      <c r="V115" s="23"/>
      <c r="W115" s="23"/>
      <c r="X115" s="23"/>
      <c r="AO115" s="34"/>
      <c r="AP115" s="22"/>
      <c r="AQ115" s="22"/>
      <c r="AR115" s="22"/>
      <c r="AS115" s="34"/>
      <c r="AT115" s="34"/>
      <c r="AV115" s="34"/>
      <c r="AX115" s="35"/>
      <c r="AY115" s="35"/>
      <c r="AZ115" s="35"/>
      <c r="BA115" s="22"/>
      <c r="BB115" s="22"/>
      <c r="BC115" s="23"/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</row>
    <row r="116" spans="2:65">
      <c r="B116" s="20"/>
      <c r="D116" s="19"/>
      <c r="E116" s="22"/>
      <c r="F116" s="22"/>
      <c r="G116" s="22"/>
      <c r="H116" s="22"/>
      <c r="I116" s="23"/>
      <c r="J116" s="24"/>
      <c r="K116" s="23"/>
      <c r="L116" s="24"/>
      <c r="M116" s="23"/>
      <c r="N116" s="24"/>
      <c r="O116" s="23"/>
      <c r="P116" s="24"/>
      <c r="Q116" s="23"/>
      <c r="R116" s="23"/>
      <c r="S116" s="23"/>
      <c r="T116" s="23"/>
      <c r="U116" s="23"/>
      <c r="V116" s="23"/>
      <c r="W116" s="23"/>
      <c r="X116" s="23"/>
      <c r="AO116" s="34"/>
      <c r="AP116" s="22"/>
      <c r="AQ116" s="22"/>
      <c r="AR116" s="22"/>
      <c r="AS116" s="34"/>
      <c r="AT116" s="34"/>
      <c r="AV116" s="34"/>
      <c r="AX116" s="35"/>
      <c r="AY116" s="35"/>
      <c r="AZ116" s="35"/>
      <c r="BA116" s="22"/>
      <c r="BB116" s="22"/>
      <c r="BC116" s="23"/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</row>
    <row r="117" spans="2:65">
      <c r="B117" s="20"/>
      <c r="D117" s="19"/>
      <c r="E117" s="22"/>
      <c r="F117" s="22"/>
      <c r="G117" s="22"/>
      <c r="H117" s="22"/>
      <c r="I117" s="23"/>
      <c r="J117" s="24"/>
      <c r="K117" s="23"/>
      <c r="L117" s="24"/>
      <c r="M117" s="23"/>
      <c r="N117" s="24"/>
      <c r="O117" s="23"/>
      <c r="P117" s="24"/>
      <c r="Q117" s="23"/>
      <c r="R117" s="23"/>
      <c r="S117" s="23"/>
      <c r="T117" s="23"/>
      <c r="U117" s="23"/>
      <c r="V117" s="23"/>
      <c r="W117" s="23"/>
      <c r="X117" s="23"/>
      <c r="AO117" s="34"/>
      <c r="AP117" s="22"/>
      <c r="AQ117" s="22"/>
      <c r="AR117" s="22"/>
      <c r="AS117" s="34"/>
      <c r="AT117" s="34"/>
      <c r="AV117" s="34"/>
      <c r="AX117" s="35"/>
      <c r="AY117" s="35"/>
      <c r="AZ117" s="35"/>
      <c r="BA117" s="22"/>
      <c r="BB117" s="22"/>
      <c r="BC117" s="23"/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</row>
    <row r="118" spans="2:65">
      <c r="B118" s="20"/>
      <c r="D118" s="19"/>
      <c r="E118" s="22"/>
      <c r="F118" s="22"/>
      <c r="G118" s="22"/>
      <c r="H118" s="22"/>
      <c r="I118" s="23"/>
      <c r="J118" s="24"/>
      <c r="K118" s="23"/>
      <c r="L118" s="24"/>
      <c r="M118" s="23"/>
      <c r="N118" s="24"/>
      <c r="O118" s="23"/>
      <c r="P118" s="24"/>
      <c r="Q118" s="23"/>
      <c r="R118" s="23"/>
      <c r="S118" s="23"/>
      <c r="T118" s="23"/>
      <c r="U118" s="23"/>
      <c r="V118" s="23"/>
      <c r="W118" s="23"/>
      <c r="X118" s="23"/>
      <c r="AO118" s="34"/>
      <c r="AP118" s="22"/>
      <c r="AQ118" s="22"/>
      <c r="AR118" s="22"/>
      <c r="AS118" s="34"/>
      <c r="AT118" s="34"/>
      <c r="AV118" s="34"/>
      <c r="AX118" s="35"/>
      <c r="AY118" s="35"/>
      <c r="AZ118" s="35"/>
      <c r="BA118" s="22"/>
      <c r="BB118" s="22"/>
      <c r="BC118" s="23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</row>
    <row r="119" spans="2:65">
      <c r="B119" s="20"/>
      <c r="D119" s="19"/>
      <c r="E119" s="22"/>
      <c r="F119" s="22"/>
      <c r="G119" s="22"/>
      <c r="H119" s="22"/>
      <c r="I119" s="23"/>
      <c r="J119" s="24"/>
      <c r="K119" s="23"/>
      <c r="L119" s="24"/>
      <c r="M119" s="23"/>
      <c r="N119" s="24"/>
      <c r="O119" s="23"/>
      <c r="P119" s="24"/>
      <c r="Q119" s="23"/>
      <c r="R119" s="23"/>
      <c r="S119" s="23"/>
      <c r="T119" s="23"/>
      <c r="U119" s="23"/>
      <c r="V119" s="23"/>
      <c r="W119" s="23"/>
      <c r="X119" s="23"/>
      <c r="AO119" s="34"/>
      <c r="AP119" s="22"/>
      <c r="AQ119" s="22"/>
      <c r="AR119" s="22"/>
      <c r="AS119" s="34"/>
      <c r="AT119" s="34"/>
      <c r="AV119" s="34"/>
      <c r="AX119" s="35"/>
      <c r="AY119" s="35"/>
      <c r="AZ119" s="35"/>
      <c r="BA119" s="22"/>
      <c r="BB119" s="22"/>
      <c r="BC119" s="23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</row>
    <row r="120" spans="2:65">
      <c r="B120" s="20"/>
      <c r="D120" s="19"/>
      <c r="E120" s="22"/>
      <c r="F120" s="22"/>
      <c r="G120" s="22"/>
      <c r="H120" s="22"/>
      <c r="I120" s="23"/>
      <c r="J120" s="24"/>
      <c r="K120" s="23"/>
      <c r="L120" s="24"/>
      <c r="M120" s="23"/>
      <c r="N120" s="24"/>
      <c r="O120" s="23"/>
      <c r="P120" s="24"/>
      <c r="Q120" s="23"/>
      <c r="R120" s="23"/>
      <c r="S120" s="23"/>
      <c r="T120" s="23"/>
      <c r="U120" s="23"/>
      <c r="V120" s="23"/>
      <c r="W120" s="23"/>
      <c r="X120" s="23"/>
      <c r="AO120" s="34"/>
      <c r="AP120" s="22"/>
      <c r="AQ120" s="22"/>
      <c r="AR120" s="22"/>
      <c r="AS120" s="34"/>
      <c r="AT120" s="34"/>
      <c r="AV120" s="34"/>
      <c r="AX120" s="35"/>
      <c r="AY120" s="35"/>
      <c r="AZ120" s="35"/>
      <c r="BA120" s="22"/>
      <c r="BB120" s="22"/>
      <c r="BC120" s="23"/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</row>
    <row r="121" spans="2:65">
      <c r="B121" s="20"/>
      <c r="D121" s="19"/>
      <c r="E121" s="22"/>
      <c r="F121" s="22"/>
      <c r="G121" s="22"/>
      <c r="H121" s="22"/>
      <c r="I121" s="23"/>
      <c r="J121" s="24"/>
      <c r="K121" s="23"/>
      <c r="L121" s="24"/>
      <c r="M121" s="23"/>
      <c r="N121" s="24"/>
      <c r="O121" s="23"/>
      <c r="P121" s="24"/>
      <c r="Q121" s="23"/>
      <c r="R121" s="23"/>
      <c r="S121" s="23"/>
      <c r="T121" s="23"/>
      <c r="U121" s="23"/>
      <c r="V121" s="23"/>
      <c r="W121" s="23"/>
      <c r="X121" s="23"/>
      <c r="AO121" s="34"/>
      <c r="AP121" s="22"/>
      <c r="AQ121" s="22"/>
      <c r="AR121" s="22"/>
      <c r="AS121" s="34"/>
      <c r="AT121" s="34"/>
      <c r="AV121" s="34"/>
      <c r="AX121" s="35"/>
      <c r="AY121" s="35"/>
      <c r="AZ121" s="35"/>
      <c r="BA121" s="22"/>
      <c r="BB121" s="22"/>
      <c r="BC121" s="23"/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</row>
    <row r="122" spans="2:65">
      <c r="B122" s="20"/>
      <c r="D122" s="19"/>
      <c r="E122" s="22"/>
      <c r="F122" s="22"/>
      <c r="G122" s="22"/>
      <c r="H122" s="22"/>
      <c r="I122" s="23"/>
      <c r="J122" s="24"/>
      <c r="K122" s="23"/>
      <c r="L122" s="24"/>
      <c r="M122" s="23"/>
      <c r="N122" s="24"/>
      <c r="O122" s="23"/>
      <c r="P122" s="24"/>
      <c r="Q122" s="23"/>
      <c r="R122" s="23"/>
      <c r="S122" s="23"/>
      <c r="T122" s="23"/>
      <c r="U122" s="23"/>
      <c r="V122" s="23"/>
      <c r="W122" s="23"/>
      <c r="X122" s="23"/>
      <c r="AO122" s="34"/>
      <c r="AP122" s="22"/>
      <c r="AQ122" s="22"/>
      <c r="AR122" s="22"/>
      <c r="AS122" s="34"/>
      <c r="AT122" s="34"/>
      <c r="AV122" s="34"/>
      <c r="AX122" s="35"/>
      <c r="AY122" s="35"/>
      <c r="AZ122" s="35"/>
      <c r="BA122" s="22"/>
      <c r="BB122" s="22"/>
      <c r="BC122" s="23"/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</row>
    <row r="123" spans="2:65">
      <c r="B123" s="20"/>
      <c r="D123" s="19"/>
      <c r="E123" s="22"/>
      <c r="F123" s="22"/>
      <c r="G123" s="22"/>
      <c r="H123" s="22"/>
      <c r="I123" s="23"/>
      <c r="J123" s="24"/>
      <c r="K123" s="23"/>
      <c r="L123" s="24"/>
      <c r="M123" s="23"/>
      <c r="N123" s="24"/>
      <c r="O123" s="23"/>
      <c r="P123" s="24"/>
      <c r="Q123" s="23"/>
      <c r="R123" s="23"/>
      <c r="S123" s="23"/>
      <c r="T123" s="23"/>
      <c r="U123" s="23"/>
      <c r="V123" s="23"/>
      <c r="W123" s="23"/>
      <c r="X123" s="23"/>
      <c r="AO123" s="34"/>
      <c r="AP123" s="22"/>
      <c r="AQ123" s="22"/>
      <c r="AR123" s="22"/>
      <c r="AS123" s="34"/>
      <c r="AT123" s="34"/>
      <c r="AV123" s="34"/>
      <c r="AX123" s="35"/>
      <c r="AY123" s="35"/>
      <c r="AZ123" s="35"/>
      <c r="BA123" s="22"/>
      <c r="BB123" s="22"/>
      <c r="BC123" s="23"/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</row>
    <row r="124" spans="2:65">
      <c r="B124" s="20"/>
      <c r="D124" s="19"/>
      <c r="E124" s="22"/>
      <c r="F124" s="22"/>
      <c r="G124" s="22"/>
      <c r="H124" s="22"/>
      <c r="I124" s="23"/>
      <c r="J124" s="24"/>
      <c r="K124" s="23"/>
      <c r="L124" s="24"/>
      <c r="M124" s="23"/>
      <c r="N124" s="24"/>
      <c r="O124" s="23"/>
      <c r="P124" s="24"/>
      <c r="Q124" s="23"/>
      <c r="R124" s="23"/>
      <c r="S124" s="23"/>
      <c r="T124" s="23"/>
      <c r="U124" s="23"/>
      <c r="V124" s="23"/>
      <c r="W124" s="23"/>
      <c r="X124" s="23"/>
      <c r="AO124" s="34"/>
      <c r="AP124" s="22"/>
      <c r="AQ124" s="22"/>
      <c r="AR124" s="22"/>
      <c r="AS124" s="34"/>
      <c r="AT124" s="34"/>
      <c r="AV124" s="34"/>
      <c r="AX124" s="35"/>
      <c r="AY124" s="35"/>
      <c r="AZ124" s="35"/>
      <c r="BA124" s="22"/>
      <c r="BB124" s="22"/>
      <c r="BC124" s="23"/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</row>
    <row r="125" spans="2:65">
      <c r="B125" s="20"/>
      <c r="D125" s="19"/>
      <c r="E125" s="22"/>
      <c r="F125" s="22"/>
      <c r="G125" s="22"/>
      <c r="H125" s="22"/>
      <c r="I125" s="23"/>
      <c r="J125" s="24"/>
      <c r="K125" s="23"/>
      <c r="L125" s="24"/>
      <c r="M125" s="23"/>
      <c r="N125" s="24"/>
      <c r="O125" s="23"/>
      <c r="P125" s="24"/>
      <c r="Q125" s="23"/>
      <c r="R125" s="23"/>
      <c r="S125" s="23"/>
      <c r="T125" s="23"/>
      <c r="U125" s="23"/>
      <c r="V125" s="23"/>
      <c r="W125" s="23"/>
      <c r="X125" s="23"/>
      <c r="AO125" s="34"/>
      <c r="AP125" s="22"/>
      <c r="AQ125" s="22"/>
      <c r="AR125" s="22"/>
      <c r="AS125" s="34"/>
      <c r="AT125" s="34"/>
      <c r="AV125" s="34"/>
      <c r="AX125" s="35"/>
      <c r="AY125" s="35"/>
      <c r="AZ125" s="35"/>
      <c r="BA125" s="22"/>
      <c r="BB125" s="22"/>
      <c r="BC125" s="23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</row>
    <row r="126" spans="2:65">
      <c r="B126" s="20"/>
      <c r="D126" s="19"/>
      <c r="E126" s="22"/>
      <c r="F126" s="22"/>
      <c r="G126" s="22"/>
      <c r="H126" s="22"/>
      <c r="I126" s="23"/>
      <c r="J126" s="24"/>
      <c r="K126" s="23"/>
      <c r="L126" s="24"/>
      <c r="M126" s="23"/>
      <c r="N126" s="24"/>
      <c r="O126" s="23"/>
      <c r="P126" s="24"/>
      <c r="Q126" s="23"/>
      <c r="R126" s="23"/>
      <c r="S126" s="23"/>
      <c r="T126" s="23"/>
      <c r="U126" s="23"/>
      <c r="V126" s="23"/>
      <c r="W126" s="23"/>
      <c r="X126" s="23"/>
      <c r="AO126" s="34"/>
      <c r="AP126" s="22"/>
      <c r="AQ126" s="22"/>
      <c r="AR126" s="22"/>
      <c r="AS126" s="34"/>
      <c r="AT126" s="34"/>
      <c r="AV126" s="34"/>
      <c r="AX126" s="35"/>
      <c r="AY126" s="35"/>
      <c r="AZ126" s="35"/>
      <c r="BA126" s="22"/>
      <c r="BB126" s="22"/>
      <c r="BC126" s="23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</row>
    <row r="127" spans="2:65">
      <c r="B127" s="20"/>
      <c r="D127" s="19"/>
      <c r="E127" s="22"/>
      <c r="F127" s="22"/>
      <c r="G127" s="22"/>
      <c r="H127" s="22"/>
      <c r="I127" s="23"/>
      <c r="J127" s="24"/>
      <c r="K127" s="23"/>
      <c r="L127" s="24"/>
      <c r="M127" s="23"/>
      <c r="N127" s="24"/>
      <c r="O127" s="23"/>
      <c r="P127" s="24"/>
      <c r="Q127" s="23"/>
      <c r="R127" s="23"/>
      <c r="S127" s="23"/>
      <c r="T127" s="23"/>
      <c r="U127" s="23"/>
      <c r="V127" s="23"/>
      <c r="W127" s="23"/>
      <c r="X127" s="23"/>
      <c r="AO127" s="34"/>
      <c r="AP127" s="22"/>
      <c r="AQ127" s="22"/>
      <c r="AR127" s="22"/>
      <c r="AS127" s="34"/>
      <c r="AT127" s="34"/>
      <c r="AV127" s="34"/>
      <c r="AX127" s="35"/>
      <c r="AY127" s="35"/>
      <c r="AZ127" s="35"/>
      <c r="BA127" s="22"/>
      <c r="BB127" s="22"/>
      <c r="BC127" s="23"/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</row>
    <row r="128" spans="2:65">
      <c r="B128" s="20"/>
      <c r="D128" s="19"/>
      <c r="E128" s="22"/>
      <c r="F128" s="22"/>
      <c r="G128" s="22"/>
      <c r="H128" s="22"/>
      <c r="I128" s="23"/>
      <c r="J128" s="24"/>
      <c r="K128" s="23"/>
      <c r="L128" s="24"/>
      <c r="M128" s="23"/>
      <c r="N128" s="24"/>
      <c r="O128" s="23"/>
      <c r="P128" s="24"/>
      <c r="Q128" s="23"/>
      <c r="R128" s="23"/>
      <c r="S128" s="23"/>
      <c r="T128" s="23"/>
      <c r="U128" s="23"/>
      <c r="V128" s="23"/>
      <c r="W128" s="23"/>
      <c r="X128" s="23"/>
      <c r="AO128" s="34"/>
      <c r="AP128" s="22"/>
      <c r="AQ128" s="22"/>
      <c r="AR128" s="22"/>
      <c r="AS128" s="34"/>
      <c r="AT128" s="34"/>
      <c r="AV128" s="34"/>
      <c r="AX128" s="35"/>
      <c r="AY128" s="35"/>
      <c r="AZ128" s="35"/>
      <c r="BA128" s="22"/>
      <c r="BB128" s="22"/>
      <c r="BC128" s="23"/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</row>
    <row r="129" spans="2:65">
      <c r="B129" s="20"/>
      <c r="D129" s="19"/>
      <c r="E129" s="22"/>
      <c r="F129" s="22"/>
      <c r="G129" s="22"/>
      <c r="H129" s="22"/>
      <c r="I129" s="23"/>
      <c r="J129" s="24"/>
      <c r="K129" s="23"/>
      <c r="L129" s="24"/>
      <c r="M129" s="23"/>
      <c r="N129" s="24"/>
      <c r="O129" s="23"/>
      <c r="P129" s="24"/>
      <c r="Q129" s="23"/>
      <c r="R129" s="23"/>
      <c r="S129" s="23"/>
      <c r="T129" s="23"/>
      <c r="U129" s="23"/>
      <c r="V129" s="23"/>
      <c r="W129" s="23"/>
      <c r="X129" s="23"/>
      <c r="AO129" s="34"/>
      <c r="AP129" s="22"/>
      <c r="AQ129" s="22"/>
      <c r="AR129" s="22"/>
      <c r="AS129" s="34"/>
      <c r="AT129" s="34"/>
      <c r="AV129" s="34"/>
      <c r="AX129" s="35"/>
      <c r="AY129" s="35"/>
      <c r="AZ129" s="35"/>
      <c r="BA129" s="22"/>
      <c r="BB129" s="22"/>
      <c r="BC129" s="23"/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</row>
    <row r="130" spans="2:65">
      <c r="B130" s="20"/>
      <c r="D130" s="19"/>
      <c r="E130" s="22"/>
      <c r="F130" s="22"/>
      <c r="G130" s="22"/>
      <c r="H130" s="22"/>
      <c r="I130" s="23"/>
      <c r="J130" s="24"/>
      <c r="K130" s="23"/>
      <c r="L130" s="24"/>
      <c r="M130" s="23"/>
      <c r="N130" s="24"/>
      <c r="O130" s="23"/>
      <c r="P130" s="24"/>
      <c r="Q130" s="23"/>
      <c r="R130" s="23"/>
      <c r="S130" s="23"/>
      <c r="T130" s="23"/>
      <c r="U130" s="23"/>
      <c r="V130" s="23"/>
      <c r="W130" s="23"/>
      <c r="X130" s="23"/>
      <c r="AO130" s="34"/>
      <c r="AP130" s="22"/>
      <c r="AQ130" s="22"/>
      <c r="AR130" s="22"/>
      <c r="AS130" s="34"/>
      <c r="AT130" s="34"/>
      <c r="AV130" s="34"/>
      <c r="AX130" s="35"/>
      <c r="AY130" s="35"/>
      <c r="AZ130" s="35"/>
      <c r="BA130" s="22"/>
      <c r="BB130" s="22"/>
      <c r="BC130" s="23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</row>
    <row r="131" spans="2:65">
      <c r="B131" s="20"/>
      <c r="D131" s="19"/>
      <c r="E131" s="22"/>
      <c r="F131" s="22"/>
      <c r="G131" s="22"/>
      <c r="H131" s="22"/>
      <c r="I131" s="23"/>
      <c r="J131" s="24"/>
      <c r="K131" s="23"/>
      <c r="L131" s="24"/>
      <c r="M131" s="23"/>
      <c r="N131" s="24"/>
      <c r="O131" s="23"/>
      <c r="P131" s="24"/>
      <c r="Q131" s="23"/>
      <c r="R131" s="23"/>
      <c r="S131" s="23"/>
      <c r="T131" s="23"/>
      <c r="U131" s="23"/>
      <c r="V131" s="23"/>
      <c r="W131" s="23"/>
      <c r="X131" s="23"/>
      <c r="AO131" s="34"/>
      <c r="AP131" s="22"/>
      <c r="AQ131" s="22"/>
      <c r="AR131" s="22"/>
      <c r="AS131" s="34"/>
      <c r="AT131" s="34"/>
      <c r="AV131" s="34"/>
      <c r="AX131" s="35"/>
      <c r="AY131" s="35"/>
      <c r="AZ131" s="35"/>
      <c r="BA131" s="22"/>
      <c r="BB131" s="22"/>
      <c r="BC131" s="23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</row>
    <row r="132" spans="2:65">
      <c r="B132" s="20"/>
      <c r="D132" s="19"/>
      <c r="E132" s="22"/>
      <c r="F132" s="22"/>
      <c r="G132" s="22"/>
      <c r="H132" s="22"/>
      <c r="I132" s="23"/>
      <c r="J132" s="24"/>
      <c r="K132" s="23"/>
      <c r="L132" s="24"/>
      <c r="M132" s="23"/>
      <c r="N132" s="24"/>
      <c r="O132" s="23"/>
      <c r="P132" s="24"/>
      <c r="Q132" s="23"/>
      <c r="R132" s="23"/>
      <c r="S132" s="23"/>
      <c r="T132" s="23"/>
      <c r="U132" s="23"/>
      <c r="V132" s="23"/>
      <c r="W132" s="23"/>
      <c r="X132" s="23"/>
      <c r="AO132" s="34"/>
      <c r="AP132" s="22"/>
      <c r="AQ132" s="22"/>
      <c r="AR132" s="22"/>
      <c r="AS132" s="34"/>
      <c r="AT132" s="34"/>
      <c r="AV132" s="34"/>
      <c r="AX132" s="35"/>
      <c r="AY132" s="35"/>
      <c r="AZ132" s="35"/>
      <c r="BA132" s="22"/>
      <c r="BB132" s="22"/>
      <c r="BC132" s="23"/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</row>
    <row r="133" spans="2:65">
      <c r="B133" s="20"/>
      <c r="D133" s="19"/>
      <c r="E133" s="22"/>
      <c r="F133" s="22"/>
      <c r="G133" s="22"/>
      <c r="H133" s="22"/>
      <c r="I133" s="23"/>
      <c r="J133" s="24"/>
      <c r="K133" s="23"/>
      <c r="L133" s="24"/>
      <c r="M133" s="23"/>
      <c r="N133" s="24"/>
      <c r="O133" s="23"/>
      <c r="P133" s="24"/>
      <c r="Q133" s="23"/>
      <c r="R133" s="23"/>
      <c r="S133" s="23"/>
      <c r="T133" s="23"/>
      <c r="U133" s="23"/>
      <c r="V133" s="23"/>
      <c r="W133" s="23"/>
      <c r="X133" s="23"/>
      <c r="AO133" s="34"/>
      <c r="AP133" s="22"/>
      <c r="AQ133" s="22"/>
      <c r="AR133" s="22"/>
      <c r="AS133" s="34"/>
      <c r="AT133" s="34"/>
      <c r="AV133" s="34"/>
      <c r="AX133" s="35"/>
      <c r="AY133" s="35"/>
      <c r="AZ133" s="35"/>
      <c r="BA133" s="22"/>
      <c r="BB133" s="22"/>
      <c r="BC133" s="23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</row>
    <row r="134" spans="2:65">
      <c r="B134" s="20"/>
      <c r="D134" s="19"/>
      <c r="E134" s="22"/>
      <c r="F134" s="22"/>
      <c r="G134" s="22"/>
      <c r="H134" s="22"/>
      <c r="I134" s="23"/>
      <c r="J134" s="24"/>
      <c r="K134" s="23"/>
      <c r="L134" s="24"/>
      <c r="M134" s="23"/>
      <c r="N134" s="24"/>
      <c r="O134" s="23"/>
      <c r="P134" s="24"/>
      <c r="Q134" s="23"/>
      <c r="R134" s="23"/>
      <c r="S134" s="23"/>
      <c r="T134" s="23"/>
      <c r="U134" s="23"/>
      <c r="V134" s="23"/>
      <c r="W134" s="23"/>
      <c r="X134" s="23"/>
      <c r="AO134" s="34"/>
      <c r="AP134" s="22"/>
      <c r="AQ134" s="22"/>
      <c r="AR134" s="22"/>
      <c r="AS134" s="34"/>
      <c r="AT134" s="34"/>
      <c r="AV134" s="34"/>
      <c r="AX134" s="35"/>
      <c r="AY134" s="35"/>
      <c r="AZ134" s="35"/>
      <c r="BA134" s="22"/>
      <c r="BB134" s="22"/>
      <c r="BC134" s="23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</row>
    <row r="135" spans="2:65">
      <c r="B135" s="20"/>
      <c r="D135" s="19"/>
      <c r="E135" s="22"/>
      <c r="F135" s="22"/>
      <c r="G135" s="22"/>
      <c r="H135" s="22"/>
      <c r="I135" s="23"/>
      <c r="J135" s="24"/>
      <c r="K135" s="23"/>
      <c r="L135" s="24"/>
      <c r="M135" s="23"/>
      <c r="N135" s="24"/>
      <c r="O135" s="23"/>
      <c r="P135" s="24"/>
      <c r="Q135" s="23"/>
      <c r="R135" s="23"/>
      <c r="S135" s="23"/>
      <c r="T135" s="23"/>
      <c r="U135" s="23"/>
      <c r="V135" s="23"/>
      <c r="W135" s="23"/>
      <c r="X135" s="23"/>
      <c r="AO135" s="34"/>
      <c r="AP135" s="22"/>
      <c r="AQ135" s="22"/>
      <c r="AR135" s="22"/>
      <c r="AS135" s="34"/>
      <c r="AT135" s="34"/>
      <c r="AV135" s="34"/>
      <c r="AX135" s="35"/>
      <c r="AY135" s="35"/>
      <c r="AZ135" s="35"/>
      <c r="BA135" s="22"/>
      <c r="BB135" s="22"/>
      <c r="BC135" s="23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</row>
    <row r="136" spans="2:65">
      <c r="B136" s="20"/>
      <c r="D136" s="19"/>
      <c r="E136" s="22"/>
      <c r="F136" s="22"/>
      <c r="G136" s="22"/>
      <c r="H136" s="22"/>
      <c r="I136" s="23"/>
      <c r="J136" s="24"/>
      <c r="K136" s="23"/>
      <c r="L136" s="24"/>
      <c r="M136" s="23"/>
      <c r="N136" s="24"/>
      <c r="O136" s="23"/>
      <c r="P136" s="24"/>
      <c r="Q136" s="23"/>
      <c r="R136" s="23"/>
      <c r="S136" s="23"/>
      <c r="T136" s="23"/>
      <c r="U136" s="23"/>
      <c r="V136" s="23"/>
      <c r="W136" s="23"/>
      <c r="X136" s="23"/>
      <c r="AO136" s="34"/>
      <c r="AP136" s="22"/>
      <c r="AQ136" s="22"/>
      <c r="AR136" s="22"/>
      <c r="AS136" s="34"/>
      <c r="AT136" s="34"/>
      <c r="AV136" s="34"/>
      <c r="AX136" s="35"/>
      <c r="AY136" s="35"/>
      <c r="AZ136" s="35"/>
      <c r="BA136" s="22"/>
      <c r="BB136" s="22"/>
      <c r="BC136" s="23"/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</row>
    <row r="137" spans="2:65">
      <c r="B137" s="20"/>
      <c r="D137" s="19"/>
      <c r="E137" s="22"/>
      <c r="F137" s="22"/>
      <c r="G137" s="22"/>
      <c r="H137" s="22"/>
      <c r="I137" s="23"/>
      <c r="J137" s="24"/>
      <c r="K137" s="23"/>
      <c r="L137" s="24"/>
      <c r="M137" s="23"/>
      <c r="N137" s="24"/>
      <c r="O137" s="23"/>
      <c r="P137" s="24"/>
      <c r="Q137" s="23"/>
      <c r="R137" s="23"/>
      <c r="S137" s="23"/>
      <c r="T137" s="23"/>
      <c r="U137" s="23"/>
      <c r="V137" s="23"/>
      <c r="W137" s="23"/>
      <c r="X137" s="23"/>
      <c r="AO137" s="34"/>
      <c r="AP137" s="22"/>
      <c r="AQ137" s="22"/>
      <c r="AR137" s="22"/>
      <c r="AS137" s="34"/>
      <c r="AT137" s="34"/>
      <c r="AV137" s="34"/>
      <c r="AX137" s="35"/>
      <c r="AY137" s="35"/>
      <c r="AZ137" s="35"/>
      <c r="BA137" s="22"/>
      <c r="BB137" s="22"/>
      <c r="BC137" s="23"/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</row>
    <row r="138" spans="2:65">
      <c r="B138" s="20"/>
      <c r="D138" s="19"/>
      <c r="E138" s="22"/>
      <c r="F138" s="22"/>
      <c r="G138" s="22"/>
      <c r="H138" s="22"/>
      <c r="I138" s="23"/>
      <c r="J138" s="24"/>
      <c r="K138" s="23"/>
      <c r="L138" s="24"/>
      <c r="M138" s="23"/>
      <c r="N138" s="24"/>
      <c r="O138" s="23"/>
      <c r="P138" s="24"/>
      <c r="Q138" s="23"/>
      <c r="R138" s="23"/>
      <c r="S138" s="23"/>
      <c r="T138" s="23"/>
      <c r="U138" s="23"/>
      <c r="V138" s="23"/>
      <c r="W138" s="23"/>
      <c r="X138" s="23"/>
      <c r="AO138" s="34"/>
      <c r="AP138" s="22"/>
      <c r="AQ138" s="22"/>
      <c r="AR138" s="22"/>
      <c r="AS138" s="34"/>
      <c r="AT138" s="34"/>
      <c r="AV138" s="34"/>
      <c r="AX138" s="35"/>
      <c r="AY138" s="35"/>
      <c r="AZ138" s="35"/>
      <c r="BA138" s="22"/>
      <c r="BB138" s="22"/>
      <c r="BC138" s="23"/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</row>
    <row r="139" spans="2:65">
      <c r="B139" s="20"/>
      <c r="D139" s="19"/>
      <c r="E139" s="22"/>
      <c r="F139" s="22"/>
      <c r="G139" s="22"/>
      <c r="H139" s="22"/>
      <c r="I139" s="23"/>
      <c r="J139" s="24"/>
      <c r="K139" s="23"/>
      <c r="L139" s="24"/>
      <c r="M139" s="23"/>
      <c r="N139" s="24"/>
      <c r="O139" s="23"/>
      <c r="P139" s="24"/>
      <c r="Q139" s="23"/>
      <c r="R139" s="23"/>
      <c r="S139" s="23"/>
      <c r="T139" s="23"/>
      <c r="U139" s="23"/>
      <c r="V139" s="23"/>
      <c r="W139" s="23"/>
      <c r="X139" s="23"/>
      <c r="AO139" s="34"/>
      <c r="AP139" s="22"/>
      <c r="AQ139" s="22"/>
      <c r="AR139" s="22"/>
      <c r="AS139" s="34"/>
      <c r="AT139" s="34"/>
      <c r="AV139" s="34"/>
      <c r="AX139" s="35"/>
      <c r="AY139" s="35"/>
      <c r="AZ139" s="35"/>
      <c r="BA139" s="22"/>
      <c r="BB139" s="22"/>
      <c r="BC139" s="23"/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</row>
    <row r="140" spans="2:65">
      <c r="B140" s="20"/>
      <c r="D140" s="19"/>
      <c r="E140" s="22"/>
      <c r="F140" s="22"/>
      <c r="G140" s="22"/>
      <c r="H140" s="22"/>
      <c r="I140" s="23"/>
      <c r="J140" s="24"/>
      <c r="K140" s="23"/>
      <c r="L140" s="24"/>
      <c r="M140" s="23"/>
      <c r="N140" s="24"/>
      <c r="O140" s="23"/>
      <c r="P140" s="24"/>
      <c r="Q140" s="23"/>
      <c r="R140" s="23"/>
      <c r="S140" s="23"/>
      <c r="T140" s="23"/>
      <c r="U140" s="23"/>
      <c r="V140" s="23"/>
      <c r="W140" s="23"/>
      <c r="X140" s="23"/>
      <c r="AO140" s="34"/>
      <c r="AP140" s="22"/>
      <c r="AQ140" s="22"/>
      <c r="AR140" s="22"/>
      <c r="AS140" s="34"/>
      <c r="AT140" s="34"/>
      <c r="AV140" s="34"/>
      <c r="AX140" s="35"/>
      <c r="AY140" s="35"/>
      <c r="AZ140" s="35"/>
      <c r="BA140" s="22"/>
      <c r="BB140" s="22"/>
      <c r="BC140" s="23"/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</row>
    <row r="141" spans="2:65">
      <c r="B141" s="20"/>
      <c r="D141" s="19"/>
      <c r="E141" s="22"/>
      <c r="F141" s="22"/>
      <c r="G141" s="22"/>
      <c r="H141" s="22"/>
      <c r="I141" s="23"/>
      <c r="J141" s="24"/>
      <c r="K141" s="23"/>
      <c r="L141" s="24"/>
      <c r="M141" s="23"/>
      <c r="N141" s="24"/>
      <c r="O141" s="23"/>
      <c r="P141" s="24"/>
      <c r="Q141" s="23"/>
      <c r="R141" s="23"/>
      <c r="S141" s="23"/>
      <c r="T141" s="23"/>
      <c r="U141" s="23"/>
      <c r="V141" s="23"/>
      <c r="W141" s="23"/>
      <c r="X141" s="23"/>
      <c r="AO141" s="34"/>
      <c r="AP141" s="22"/>
      <c r="AQ141" s="22"/>
      <c r="AR141" s="22"/>
      <c r="AS141" s="34"/>
      <c r="AT141" s="34"/>
      <c r="AV141" s="34"/>
      <c r="AX141" s="35"/>
      <c r="AY141" s="35"/>
      <c r="AZ141" s="35"/>
      <c r="BA141" s="22"/>
      <c r="BB141" s="22"/>
      <c r="BC141" s="23"/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</row>
    <row r="142" spans="2:65">
      <c r="B142" s="20"/>
      <c r="D142" s="19"/>
      <c r="E142" s="22"/>
      <c r="F142" s="22"/>
      <c r="G142" s="22"/>
      <c r="H142" s="22"/>
      <c r="I142" s="23"/>
      <c r="J142" s="24"/>
      <c r="K142" s="23"/>
      <c r="L142" s="24"/>
      <c r="M142" s="23"/>
      <c r="N142" s="24"/>
      <c r="O142" s="23"/>
      <c r="P142" s="24"/>
      <c r="Q142" s="23"/>
      <c r="R142" s="23"/>
      <c r="S142" s="23"/>
      <c r="T142" s="23"/>
      <c r="U142" s="23"/>
      <c r="V142" s="23"/>
      <c r="W142" s="23"/>
      <c r="X142" s="23"/>
      <c r="AO142" s="34"/>
      <c r="AP142" s="22"/>
      <c r="AQ142" s="22"/>
      <c r="AR142" s="22"/>
      <c r="AS142" s="34"/>
      <c r="AT142" s="34"/>
      <c r="AV142" s="34"/>
      <c r="AX142" s="35"/>
      <c r="AY142" s="35"/>
      <c r="AZ142" s="35"/>
      <c r="BA142" s="22"/>
      <c r="BB142" s="22"/>
      <c r="BC142" s="23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</row>
    <row r="143" spans="2:65">
      <c r="B143" s="20"/>
      <c r="D143" s="19"/>
      <c r="E143" s="22"/>
      <c r="F143" s="22"/>
      <c r="G143" s="22"/>
      <c r="H143" s="22"/>
      <c r="I143" s="23"/>
      <c r="J143" s="24"/>
      <c r="K143" s="23"/>
      <c r="L143" s="24"/>
      <c r="M143" s="23"/>
      <c r="N143" s="24"/>
      <c r="O143" s="23"/>
      <c r="P143" s="24"/>
      <c r="Q143" s="23"/>
      <c r="R143" s="23"/>
      <c r="S143" s="23"/>
      <c r="T143" s="23"/>
      <c r="U143" s="23"/>
      <c r="V143" s="23"/>
      <c r="W143" s="23"/>
      <c r="X143" s="23"/>
      <c r="AO143" s="34"/>
      <c r="AP143" s="22"/>
      <c r="AQ143" s="22"/>
      <c r="AR143" s="22"/>
      <c r="AS143" s="34"/>
      <c r="AT143" s="34"/>
      <c r="AV143" s="34"/>
      <c r="AX143" s="35"/>
      <c r="AY143" s="35"/>
      <c r="AZ143" s="35"/>
      <c r="BA143" s="22"/>
      <c r="BB143" s="22"/>
      <c r="BC143" s="23"/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</row>
    <row r="144" spans="2:65">
      <c r="B144" s="20"/>
      <c r="D144" s="19"/>
      <c r="E144" s="22"/>
      <c r="F144" s="22"/>
      <c r="G144" s="22"/>
      <c r="H144" s="22"/>
      <c r="I144" s="23"/>
      <c r="J144" s="24"/>
      <c r="K144" s="23"/>
      <c r="L144" s="24"/>
      <c r="M144" s="23"/>
      <c r="N144" s="24"/>
      <c r="O144" s="23"/>
      <c r="P144" s="24"/>
      <c r="Q144" s="23"/>
      <c r="R144" s="23"/>
      <c r="S144" s="23"/>
      <c r="T144" s="23"/>
      <c r="U144" s="23"/>
      <c r="V144" s="23"/>
      <c r="W144" s="23"/>
      <c r="X144" s="23"/>
      <c r="AO144" s="34"/>
      <c r="AP144" s="22"/>
      <c r="AQ144" s="22"/>
      <c r="AR144" s="22"/>
      <c r="AS144" s="34"/>
      <c r="AT144" s="34"/>
      <c r="AV144" s="34"/>
      <c r="AX144" s="35"/>
      <c r="AY144" s="35"/>
      <c r="AZ144" s="35"/>
      <c r="BA144" s="22"/>
      <c r="BB144" s="22"/>
      <c r="BC144" s="23"/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</row>
    <row r="145" spans="2:65">
      <c r="B145" s="20"/>
      <c r="D145" s="19"/>
      <c r="E145" s="22"/>
      <c r="F145" s="22"/>
      <c r="G145" s="22"/>
      <c r="H145" s="22"/>
      <c r="I145" s="23"/>
      <c r="J145" s="24"/>
      <c r="K145" s="23"/>
      <c r="L145" s="24"/>
      <c r="M145" s="23"/>
      <c r="N145" s="24"/>
      <c r="O145" s="23"/>
      <c r="P145" s="24"/>
      <c r="Q145" s="23"/>
      <c r="R145" s="23"/>
      <c r="S145" s="23"/>
      <c r="T145" s="23"/>
      <c r="U145" s="23"/>
      <c r="V145" s="23"/>
      <c r="W145" s="23"/>
      <c r="X145" s="23"/>
      <c r="AO145" s="34"/>
      <c r="AP145" s="22"/>
      <c r="AQ145" s="22"/>
      <c r="AR145" s="22"/>
      <c r="AS145" s="34"/>
      <c r="AT145" s="34"/>
      <c r="AV145" s="34"/>
      <c r="AX145" s="35"/>
      <c r="AY145" s="35"/>
      <c r="AZ145" s="35"/>
      <c r="BA145" s="22"/>
      <c r="BB145" s="22"/>
      <c r="BC145" s="23"/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</row>
    <row r="146" spans="2:65">
      <c r="B146" s="20"/>
      <c r="D146" s="19"/>
      <c r="E146" s="22"/>
      <c r="F146" s="22"/>
      <c r="G146" s="22"/>
      <c r="H146" s="22"/>
      <c r="I146" s="23"/>
      <c r="J146" s="24"/>
      <c r="K146" s="23"/>
      <c r="L146" s="24"/>
      <c r="M146" s="23"/>
      <c r="N146" s="24"/>
      <c r="O146" s="23"/>
      <c r="P146" s="24"/>
      <c r="Q146" s="23"/>
      <c r="R146" s="23"/>
      <c r="S146" s="23"/>
      <c r="T146" s="23"/>
      <c r="U146" s="23"/>
      <c r="V146" s="23"/>
      <c r="W146" s="23"/>
      <c r="X146" s="23"/>
      <c r="AO146" s="34"/>
      <c r="AP146" s="22"/>
      <c r="AQ146" s="22"/>
      <c r="AR146" s="22"/>
      <c r="AS146" s="34"/>
      <c r="AT146" s="34"/>
      <c r="AV146" s="34"/>
      <c r="AX146" s="35"/>
      <c r="AY146" s="35"/>
      <c r="AZ146" s="35"/>
      <c r="BA146" s="22"/>
      <c r="BB146" s="22"/>
      <c r="BC146" s="23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</row>
    <row r="147" spans="2:65">
      <c r="B147" s="20"/>
      <c r="D147" s="19"/>
      <c r="E147" s="22"/>
      <c r="F147" s="22"/>
      <c r="G147" s="22"/>
      <c r="H147" s="22"/>
      <c r="I147" s="23"/>
      <c r="J147" s="24"/>
      <c r="K147" s="23"/>
      <c r="L147" s="24"/>
      <c r="M147" s="23"/>
      <c r="N147" s="24"/>
      <c r="O147" s="23"/>
      <c r="P147" s="24"/>
      <c r="Q147" s="23"/>
      <c r="R147" s="23"/>
      <c r="S147" s="23"/>
      <c r="T147" s="23"/>
      <c r="U147" s="23"/>
      <c r="V147" s="23"/>
      <c r="W147" s="23"/>
      <c r="X147" s="23"/>
      <c r="AO147" s="34"/>
      <c r="AP147" s="22"/>
      <c r="AQ147" s="22"/>
      <c r="AR147" s="22"/>
      <c r="AS147" s="34"/>
      <c r="AT147" s="34"/>
      <c r="AV147" s="34"/>
      <c r="AX147" s="35"/>
      <c r="AY147" s="35"/>
      <c r="AZ147" s="35"/>
      <c r="BA147" s="22"/>
      <c r="BB147" s="22"/>
      <c r="BC147" s="23"/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</row>
    <row r="148" spans="2:65">
      <c r="B148" s="20"/>
      <c r="D148" s="19"/>
      <c r="E148" s="22"/>
      <c r="F148" s="22"/>
      <c r="G148" s="22"/>
      <c r="H148" s="22"/>
      <c r="I148" s="23"/>
      <c r="J148" s="24"/>
      <c r="K148" s="23"/>
      <c r="L148" s="24"/>
      <c r="M148" s="23"/>
      <c r="N148" s="24"/>
      <c r="O148" s="23"/>
      <c r="P148" s="24"/>
      <c r="Q148" s="23"/>
      <c r="R148" s="23"/>
      <c r="S148" s="23"/>
      <c r="T148" s="23"/>
      <c r="U148" s="23"/>
      <c r="V148" s="23"/>
      <c r="W148" s="23"/>
      <c r="X148" s="23"/>
      <c r="AO148" s="34"/>
      <c r="AP148" s="22"/>
      <c r="AQ148" s="22"/>
      <c r="AR148" s="22"/>
      <c r="AS148" s="34"/>
      <c r="AT148" s="34"/>
      <c r="AV148" s="34"/>
      <c r="AX148" s="35"/>
      <c r="AY148" s="35"/>
      <c r="AZ148" s="35"/>
      <c r="BA148" s="22"/>
      <c r="BB148" s="22"/>
      <c r="BC148" s="23"/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</row>
    <row r="149" spans="2:65">
      <c r="B149" s="20"/>
      <c r="D149" s="19"/>
      <c r="E149" s="22"/>
      <c r="F149" s="22"/>
      <c r="G149" s="22"/>
      <c r="H149" s="22"/>
      <c r="I149" s="23"/>
      <c r="J149" s="24"/>
      <c r="K149" s="23"/>
      <c r="L149" s="24"/>
      <c r="M149" s="23"/>
      <c r="N149" s="24"/>
      <c r="O149" s="23"/>
      <c r="P149" s="24"/>
      <c r="Q149" s="23"/>
      <c r="R149" s="23"/>
      <c r="S149" s="23"/>
      <c r="T149" s="23"/>
      <c r="U149" s="23"/>
      <c r="V149" s="23"/>
      <c r="W149" s="23"/>
      <c r="X149" s="23"/>
      <c r="AO149" s="34"/>
      <c r="AP149" s="22"/>
      <c r="AQ149" s="22"/>
      <c r="AR149" s="22"/>
      <c r="AS149" s="34"/>
      <c r="AT149" s="34"/>
      <c r="AV149" s="34"/>
      <c r="AX149" s="35"/>
      <c r="AY149" s="35"/>
      <c r="AZ149" s="35"/>
      <c r="BA149" s="22"/>
      <c r="BB149" s="22"/>
      <c r="BC149" s="23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</row>
    <row r="150" spans="2:65">
      <c r="B150" s="20"/>
      <c r="D150" s="19"/>
      <c r="E150" s="22"/>
      <c r="F150" s="22"/>
      <c r="G150" s="22"/>
      <c r="H150" s="22"/>
      <c r="I150" s="23"/>
      <c r="J150" s="24"/>
      <c r="K150" s="23"/>
      <c r="L150" s="24"/>
      <c r="M150" s="23"/>
      <c r="N150" s="24"/>
      <c r="O150" s="23"/>
      <c r="P150" s="24"/>
      <c r="Q150" s="23"/>
      <c r="R150" s="23"/>
      <c r="S150" s="23"/>
      <c r="T150" s="23"/>
      <c r="U150" s="23"/>
      <c r="V150" s="23"/>
      <c r="W150" s="23"/>
      <c r="X150" s="23"/>
      <c r="AO150" s="34"/>
      <c r="AP150" s="22"/>
      <c r="AQ150" s="22"/>
      <c r="AR150" s="22"/>
      <c r="AS150" s="34"/>
      <c r="AT150" s="34"/>
      <c r="AV150" s="34"/>
      <c r="AX150" s="35"/>
      <c r="AY150" s="35"/>
      <c r="AZ150" s="35"/>
      <c r="BA150" s="22"/>
      <c r="BB150" s="22"/>
      <c r="BC150" s="23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</row>
    <row r="151" spans="2:65">
      <c r="B151" s="20"/>
      <c r="D151" s="19"/>
      <c r="E151" s="22"/>
      <c r="F151" s="22"/>
      <c r="G151" s="22"/>
      <c r="H151" s="22"/>
      <c r="I151" s="23"/>
      <c r="J151" s="24"/>
      <c r="K151" s="23"/>
      <c r="L151" s="24"/>
      <c r="M151" s="23"/>
      <c r="N151" s="24"/>
      <c r="O151" s="23"/>
      <c r="P151" s="24"/>
      <c r="Q151" s="23"/>
      <c r="R151" s="23"/>
      <c r="S151" s="23"/>
      <c r="T151" s="23"/>
      <c r="U151" s="23"/>
      <c r="V151" s="23"/>
      <c r="W151" s="23"/>
      <c r="X151" s="23"/>
      <c r="AO151" s="34"/>
      <c r="AP151" s="22"/>
      <c r="AQ151" s="22"/>
      <c r="AR151" s="22"/>
      <c r="AS151" s="34"/>
      <c r="AT151" s="34"/>
      <c r="AV151" s="34"/>
      <c r="AX151" s="35"/>
      <c r="AY151" s="35"/>
      <c r="AZ151" s="35"/>
      <c r="BA151" s="22"/>
      <c r="BB151" s="22"/>
      <c r="BC151" s="23"/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</row>
    <row r="152" spans="2:65">
      <c r="B152" s="20"/>
      <c r="D152" s="19"/>
      <c r="E152" s="22"/>
      <c r="F152" s="22"/>
      <c r="G152" s="22"/>
      <c r="H152" s="22"/>
      <c r="I152" s="23"/>
      <c r="J152" s="24"/>
      <c r="K152" s="23"/>
      <c r="L152" s="24"/>
      <c r="M152" s="23"/>
      <c r="N152" s="24"/>
      <c r="O152" s="23"/>
      <c r="P152" s="24"/>
      <c r="Q152" s="23"/>
      <c r="R152" s="23"/>
      <c r="S152" s="23"/>
      <c r="T152" s="23"/>
      <c r="U152" s="23"/>
      <c r="V152" s="23"/>
      <c r="W152" s="23"/>
      <c r="X152" s="23"/>
      <c r="AO152" s="34"/>
      <c r="AP152" s="22"/>
      <c r="AQ152" s="22"/>
      <c r="AR152" s="22"/>
      <c r="AS152" s="34"/>
      <c r="AT152" s="34"/>
      <c r="AV152" s="34"/>
      <c r="AX152" s="35"/>
      <c r="AY152" s="35"/>
      <c r="AZ152" s="35"/>
      <c r="BA152" s="22"/>
      <c r="BB152" s="22"/>
      <c r="BC152" s="23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</row>
    <row r="153" spans="2:65">
      <c r="B153" s="20"/>
      <c r="D153" s="19"/>
      <c r="E153" s="22"/>
      <c r="F153" s="22"/>
      <c r="G153" s="22"/>
      <c r="H153" s="22"/>
      <c r="I153" s="23"/>
      <c r="J153" s="24"/>
      <c r="K153" s="23"/>
      <c r="L153" s="24"/>
      <c r="M153" s="23"/>
      <c r="N153" s="24"/>
      <c r="O153" s="23"/>
      <c r="P153" s="24"/>
      <c r="Q153" s="23"/>
      <c r="R153" s="23"/>
      <c r="S153" s="23"/>
      <c r="T153" s="23"/>
      <c r="U153" s="23"/>
      <c r="V153" s="23"/>
      <c r="W153" s="23"/>
      <c r="X153" s="23"/>
      <c r="AO153" s="34"/>
      <c r="AP153" s="22"/>
      <c r="AQ153" s="22"/>
      <c r="AR153" s="22"/>
      <c r="AS153" s="34"/>
      <c r="AT153" s="34"/>
      <c r="AV153" s="34"/>
      <c r="AX153" s="35"/>
      <c r="AY153" s="35"/>
      <c r="AZ153" s="35"/>
      <c r="BA153" s="22"/>
      <c r="BB153" s="22"/>
      <c r="BC153" s="23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</row>
    <row r="154" spans="2:65">
      <c r="B154" s="20"/>
      <c r="D154" s="19"/>
      <c r="E154" s="22"/>
      <c r="F154" s="22"/>
      <c r="G154" s="22"/>
      <c r="H154" s="22"/>
      <c r="I154" s="23"/>
      <c r="J154" s="24"/>
      <c r="K154" s="23"/>
      <c r="L154" s="24"/>
      <c r="M154" s="23"/>
      <c r="N154" s="24"/>
      <c r="O154" s="23"/>
      <c r="P154" s="24"/>
      <c r="Q154" s="23"/>
      <c r="R154" s="23"/>
      <c r="S154" s="23"/>
      <c r="T154" s="23"/>
      <c r="U154" s="23"/>
      <c r="V154" s="23"/>
      <c r="W154" s="23"/>
      <c r="X154" s="23"/>
      <c r="AO154" s="34"/>
      <c r="AP154" s="22"/>
      <c r="AQ154" s="22"/>
      <c r="AR154" s="22"/>
      <c r="AS154" s="34"/>
      <c r="AT154" s="34"/>
      <c r="AV154" s="34"/>
      <c r="AX154" s="35"/>
      <c r="AY154" s="35"/>
      <c r="AZ154" s="35"/>
      <c r="BA154" s="22"/>
      <c r="BB154" s="22"/>
      <c r="BC154" s="23"/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</row>
    <row r="155" spans="2:65">
      <c r="B155" s="20"/>
      <c r="D155" s="19"/>
      <c r="E155" s="22"/>
      <c r="F155" s="22"/>
      <c r="G155" s="22"/>
      <c r="H155" s="22"/>
      <c r="I155" s="23"/>
      <c r="J155" s="24"/>
      <c r="K155" s="23"/>
      <c r="L155" s="24"/>
      <c r="M155" s="23"/>
      <c r="N155" s="24"/>
      <c r="O155" s="23"/>
      <c r="P155" s="24"/>
      <c r="Q155" s="23"/>
      <c r="R155" s="23"/>
      <c r="S155" s="23"/>
      <c r="T155" s="23"/>
      <c r="U155" s="23"/>
      <c r="V155" s="23"/>
      <c r="W155" s="23"/>
      <c r="X155" s="23"/>
      <c r="AO155" s="34"/>
      <c r="AP155" s="22"/>
      <c r="AQ155" s="22"/>
      <c r="AR155" s="22"/>
      <c r="AS155" s="34"/>
      <c r="AT155" s="34"/>
      <c r="AV155" s="34"/>
      <c r="AX155" s="35"/>
      <c r="AY155" s="35"/>
      <c r="AZ155" s="35"/>
      <c r="BA155" s="22"/>
      <c r="BB155" s="22"/>
      <c r="BC155" s="23"/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</row>
    <row r="156" spans="2:65">
      <c r="B156" s="20"/>
      <c r="D156" s="19"/>
      <c r="E156" s="22"/>
      <c r="F156" s="22"/>
      <c r="G156" s="22"/>
      <c r="H156" s="22"/>
      <c r="I156" s="23"/>
      <c r="J156" s="24"/>
      <c r="K156" s="23"/>
      <c r="L156" s="24"/>
      <c r="M156" s="23"/>
      <c r="N156" s="24"/>
      <c r="O156" s="23"/>
      <c r="P156" s="24"/>
      <c r="Q156" s="23"/>
      <c r="R156" s="23"/>
      <c r="S156" s="23"/>
      <c r="T156" s="23"/>
      <c r="U156" s="23"/>
      <c r="V156" s="23"/>
      <c r="W156" s="23"/>
      <c r="X156" s="23"/>
      <c r="AO156" s="34"/>
      <c r="AP156" s="22"/>
      <c r="AQ156" s="22"/>
      <c r="AR156" s="22"/>
      <c r="AS156" s="34"/>
      <c r="AT156" s="34"/>
      <c r="AV156" s="34"/>
      <c r="AX156" s="35"/>
      <c r="AY156" s="35"/>
      <c r="AZ156" s="35"/>
      <c r="BA156" s="22"/>
      <c r="BB156" s="22"/>
      <c r="BC156" s="23"/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</row>
    <row r="157" spans="2:65">
      <c r="B157" s="20"/>
      <c r="D157" s="19"/>
      <c r="E157" s="22"/>
      <c r="F157" s="22"/>
      <c r="G157" s="22"/>
      <c r="H157" s="22"/>
      <c r="I157" s="23"/>
      <c r="J157" s="24"/>
      <c r="K157" s="23"/>
      <c r="L157" s="24"/>
      <c r="M157" s="23"/>
      <c r="N157" s="24"/>
      <c r="O157" s="23"/>
      <c r="P157" s="24"/>
      <c r="Q157" s="23"/>
      <c r="R157" s="23"/>
      <c r="S157" s="23"/>
      <c r="T157" s="23"/>
      <c r="U157" s="23"/>
      <c r="V157" s="23"/>
      <c r="W157" s="23"/>
      <c r="X157" s="23"/>
      <c r="AO157" s="34"/>
      <c r="AP157" s="22"/>
      <c r="AQ157" s="22"/>
      <c r="AR157" s="22"/>
      <c r="AS157" s="34"/>
      <c r="AT157" s="34"/>
      <c r="AV157" s="34"/>
      <c r="AX157" s="35"/>
      <c r="AY157" s="35"/>
      <c r="AZ157" s="35"/>
      <c r="BA157" s="22"/>
      <c r="BB157" s="22"/>
      <c r="BC157" s="23"/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</row>
    <row r="158" spans="2:65">
      <c r="B158" s="20"/>
      <c r="D158" s="19"/>
      <c r="E158" s="22"/>
      <c r="F158" s="22"/>
      <c r="G158" s="22"/>
      <c r="H158" s="22"/>
      <c r="I158" s="23"/>
      <c r="J158" s="24"/>
      <c r="K158" s="23"/>
      <c r="L158" s="24"/>
      <c r="M158" s="23"/>
      <c r="N158" s="24"/>
      <c r="O158" s="23"/>
      <c r="P158" s="24"/>
      <c r="Q158" s="23"/>
      <c r="R158" s="23"/>
      <c r="S158" s="23"/>
      <c r="T158" s="23"/>
      <c r="U158" s="23"/>
      <c r="V158" s="23"/>
      <c r="W158" s="23"/>
      <c r="X158" s="23"/>
      <c r="AO158" s="34"/>
      <c r="AP158" s="22"/>
      <c r="AQ158" s="22"/>
      <c r="AR158" s="22"/>
      <c r="AS158" s="34"/>
      <c r="AT158" s="34"/>
      <c r="AV158" s="34"/>
      <c r="AX158" s="35"/>
      <c r="AY158" s="35"/>
      <c r="AZ158" s="35"/>
      <c r="BA158" s="22"/>
      <c r="BB158" s="22"/>
      <c r="BC158" s="23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</row>
    <row r="159" spans="2:65">
      <c r="B159" s="20"/>
      <c r="D159" s="19"/>
      <c r="E159" s="22"/>
      <c r="F159" s="22"/>
      <c r="G159" s="22"/>
      <c r="H159" s="22"/>
      <c r="I159" s="23"/>
      <c r="J159" s="24"/>
      <c r="K159" s="23"/>
      <c r="L159" s="24"/>
      <c r="M159" s="23"/>
      <c r="N159" s="24"/>
      <c r="O159" s="23"/>
      <c r="P159" s="24"/>
      <c r="Q159" s="23"/>
      <c r="R159" s="23"/>
      <c r="S159" s="23"/>
      <c r="T159" s="23"/>
      <c r="U159" s="23"/>
      <c r="V159" s="23"/>
      <c r="W159" s="23"/>
      <c r="X159" s="23"/>
      <c r="AO159" s="34"/>
      <c r="AP159" s="22"/>
      <c r="AQ159" s="22"/>
      <c r="AR159" s="22"/>
      <c r="AS159" s="34"/>
      <c r="AT159" s="34"/>
      <c r="AV159" s="34"/>
      <c r="AX159" s="35"/>
      <c r="AY159" s="35"/>
      <c r="AZ159" s="35"/>
      <c r="BA159" s="22"/>
      <c r="BB159" s="22"/>
      <c r="BC159" s="23"/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</row>
    <row r="160" spans="2:65">
      <c r="B160" s="20"/>
      <c r="D160" s="19"/>
      <c r="E160" s="22"/>
      <c r="F160" s="22"/>
      <c r="G160" s="22"/>
      <c r="H160" s="22"/>
      <c r="I160" s="23"/>
      <c r="J160" s="24"/>
      <c r="K160" s="23"/>
      <c r="L160" s="24"/>
      <c r="M160" s="23"/>
      <c r="N160" s="24"/>
      <c r="O160" s="23"/>
      <c r="P160" s="24"/>
      <c r="Q160" s="23"/>
      <c r="R160" s="23"/>
      <c r="S160" s="23"/>
      <c r="T160" s="23"/>
      <c r="U160" s="23"/>
      <c r="V160" s="23"/>
      <c r="W160" s="23"/>
      <c r="X160" s="23"/>
      <c r="AO160" s="34"/>
      <c r="AP160" s="22"/>
      <c r="AQ160" s="22"/>
      <c r="AR160" s="22"/>
      <c r="AS160" s="34"/>
      <c r="AT160" s="34"/>
      <c r="AV160" s="34"/>
      <c r="AX160" s="35"/>
      <c r="AY160" s="35"/>
      <c r="AZ160" s="35"/>
      <c r="BA160" s="22"/>
      <c r="BB160" s="22"/>
      <c r="BC160" s="23"/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</row>
    <row r="161" spans="2:65">
      <c r="B161" s="20"/>
      <c r="D161" s="19"/>
      <c r="E161" s="22"/>
      <c r="F161" s="22"/>
      <c r="G161" s="22"/>
      <c r="H161" s="22"/>
      <c r="I161" s="23"/>
      <c r="J161" s="24"/>
      <c r="K161" s="23"/>
      <c r="L161" s="24"/>
      <c r="M161" s="23"/>
      <c r="N161" s="24"/>
      <c r="O161" s="23"/>
      <c r="P161" s="24"/>
      <c r="Q161" s="23"/>
      <c r="R161" s="23"/>
      <c r="S161" s="23"/>
      <c r="T161" s="23"/>
      <c r="U161" s="23"/>
      <c r="V161" s="23"/>
      <c r="W161" s="23"/>
      <c r="X161" s="23"/>
      <c r="AO161" s="34"/>
      <c r="AP161" s="22"/>
      <c r="AQ161" s="22"/>
      <c r="AR161" s="22"/>
      <c r="AS161" s="34"/>
      <c r="AT161" s="34"/>
      <c r="AV161" s="34"/>
      <c r="AX161" s="35"/>
      <c r="AY161" s="35"/>
      <c r="AZ161" s="35"/>
      <c r="BA161" s="22"/>
      <c r="BB161" s="22"/>
      <c r="BC161" s="23"/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</row>
    <row r="162" spans="2:65">
      <c r="B162" s="20"/>
      <c r="D162" s="19"/>
      <c r="E162" s="22"/>
      <c r="F162" s="22"/>
      <c r="G162" s="22"/>
      <c r="H162" s="22"/>
      <c r="I162" s="23"/>
      <c r="J162" s="24"/>
      <c r="K162" s="23"/>
      <c r="L162" s="24"/>
      <c r="M162" s="23"/>
      <c r="N162" s="24"/>
      <c r="O162" s="23"/>
      <c r="P162" s="24"/>
      <c r="Q162" s="23"/>
      <c r="R162" s="23"/>
      <c r="S162" s="23"/>
      <c r="T162" s="23"/>
      <c r="U162" s="23"/>
      <c r="V162" s="23"/>
      <c r="W162" s="23"/>
      <c r="X162" s="23"/>
      <c r="AO162" s="34"/>
      <c r="AP162" s="22"/>
      <c r="AQ162" s="22"/>
      <c r="AR162" s="22"/>
      <c r="AS162" s="34"/>
      <c r="AT162" s="34"/>
      <c r="AV162" s="34"/>
      <c r="AX162" s="35"/>
      <c r="AY162" s="35"/>
      <c r="AZ162" s="35"/>
      <c r="BA162" s="22"/>
      <c r="BB162" s="22"/>
      <c r="BC162" s="23"/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</row>
    <row r="163" spans="2:65">
      <c r="B163" s="20"/>
      <c r="D163" s="19"/>
      <c r="E163" s="22"/>
      <c r="F163" s="22"/>
      <c r="G163" s="22"/>
      <c r="H163" s="22"/>
      <c r="I163" s="23"/>
      <c r="J163" s="24"/>
      <c r="K163" s="23"/>
      <c r="L163" s="24"/>
      <c r="M163" s="23"/>
      <c r="N163" s="24"/>
      <c r="O163" s="23"/>
      <c r="P163" s="24"/>
      <c r="Q163" s="23"/>
      <c r="R163" s="23"/>
      <c r="S163" s="23"/>
      <c r="T163" s="23"/>
      <c r="U163" s="23"/>
      <c r="V163" s="23"/>
      <c r="W163" s="23"/>
      <c r="X163" s="23"/>
      <c r="AO163" s="34"/>
      <c r="AP163" s="22"/>
      <c r="AQ163" s="22"/>
      <c r="AR163" s="22"/>
      <c r="AS163" s="34"/>
      <c r="AT163" s="34"/>
      <c r="AV163" s="34"/>
      <c r="AX163" s="35"/>
      <c r="AY163" s="35"/>
      <c r="AZ163" s="35"/>
      <c r="BA163" s="22"/>
      <c r="BB163" s="22"/>
      <c r="BC163" s="23"/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</row>
    <row r="164" spans="2:65">
      <c r="B164" s="20"/>
      <c r="D164" s="19"/>
      <c r="E164" s="22"/>
      <c r="F164" s="22"/>
      <c r="G164" s="22"/>
      <c r="H164" s="22"/>
      <c r="I164" s="23"/>
      <c r="J164" s="24"/>
      <c r="K164" s="23"/>
      <c r="L164" s="24"/>
      <c r="M164" s="23"/>
      <c r="N164" s="24"/>
      <c r="O164" s="23"/>
      <c r="P164" s="24"/>
      <c r="Q164" s="23"/>
      <c r="R164" s="23"/>
      <c r="S164" s="23"/>
      <c r="T164" s="23"/>
      <c r="U164" s="23"/>
      <c r="V164" s="23"/>
      <c r="W164" s="23"/>
      <c r="X164" s="23"/>
      <c r="AO164" s="34"/>
      <c r="AP164" s="22"/>
      <c r="AQ164" s="22"/>
      <c r="AR164" s="22"/>
      <c r="AS164" s="34"/>
      <c r="AT164" s="34"/>
      <c r="AV164" s="34"/>
      <c r="AX164" s="35"/>
      <c r="AY164" s="35"/>
      <c r="AZ164" s="35"/>
      <c r="BA164" s="22"/>
      <c r="BB164" s="22"/>
      <c r="BC164" s="23"/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</row>
    <row r="165" spans="2:65">
      <c r="B165" s="20"/>
      <c r="D165" s="19"/>
      <c r="E165" s="22"/>
      <c r="F165" s="22"/>
      <c r="G165" s="22"/>
      <c r="H165" s="22"/>
      <c r="I165" s="23"/>
      <c r="J165" s="24"/>
      <c r="K165" s="23"/>
      <c r="L165" s="24"/>
      <c r="M165" s="23"/>
      <c r="N165" s="24"/>
      <c r="O165" s="23"/>
      <c r="P165" s="24"/>
      <c r="Q165" s="23"/>
      <c r="R165" s="23"/>
      <c r="S165" s="23"/>
      <c r="T165" s="23"/>
      <c r="U165" s="23"/>
      <c r="V165" s="23"/>
      <c r="W165" s="23"/>
      <c r="X165" s="23"/>
      <c r="AO165" s="34"/>
      <c r="AP165" s="22"/>
      <c r="AQ165" s="22"/>
      <c r="AR165" s="22"/>
      <c r="AS165" s="34"/>
      <c r="AT165" s="34"/>
      <c r="AV165" s="34"/>
      <c r="AX165" s="35"/>
      <c r="AY165" s="35"/>
      <c r="AZ165" s="35"/>
      <c r="BA165" s="22"/>
      <c r="BB165" s="22"/>
      <c r="BC165" s="23"/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</row>
    <row r="166" spans="2:65">
      <c r="B166" s="20"/>
      <c r="D166" s="19"/>
      <c r="E166" s="22"/>
      <c r="F166" s="22"/>
      <c r="G166" s="22"/>
      <c r="H166" s="22"/>
      <c r="I166" s="23"/>
      <c r="J166" s="24"/>
      <c r="K166" s="23"/>
      <c r="L166" s="24"/>
      <c r="M166" s="23"/>
      <c r="N166" s="24"/>
      <c r="O166" s="23"/>
      <c r="P166" s="24"/>
      <c r="Q166" s="23"/>
      <c r="R166" s="23"/>
      <c r="S166" s="23"/>
      <c r="T166" s="23"/>
      <c r="U166" s="23"/>
      <c r="V166" s="23"/>
      <c r="W166" s="23"/>
      <c r="X166" s="23"/>
      <c r="AO166" s="34"/>
      <c r="AP166" s="22"/>
      <c r="AQ166" s="22"/>
      <c r="AR166" s="22"/>
      <c r="AS166" s="34"/>
      <c r="AT166" s="34"/>
      <c r="AV166" s="34"/>
      <c r="AX166" s="35"/>
      <c r="AY166" s="35"/>
      <c r="AZ166" s="35"/>
      <c r="BA166" s="22"/>
      <c r="BB166" s="22"/>
      <c r="BC166" s="23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</row>
    <row r="167" spans="2:65">
      <c r="B167" s="20"/>
      <c r="D167" s="19"/>
      <c r="E167" s="22"/>
      <c r="F167" s="22"/>
      <c r="G167" s="22"/>
      <c r="H167" s="22"/>
      <c r="I167" s="23"/>
      <c r="J167" s="24"/>
      <c r="K167" s="23"/>
      <c r="L167" s="24"/>
      <c r="M167" s="23"/>
      <c r="N167" s="24"/>
      <c r="O167" s="23"/>
      <c r="P167" s="24"/>
      <c r="Q167" s="23"/>
      <c r="R167" s="23"/>
      <c r="S167" s="23"/>
      <c r="T167" s="23"/>
      <c r="U167" s="23"/>
      <c r="V167" s="23"/>
      <c r="W167" s="23"/>
      <c r="X167" s="23"/>
      <c r="AO167" s="34"/>
      <c r="AP167" s="22"/>
      <c r="AQ167" s="22"/>
      <c r="AR167" s="22"/>
      <c r="AS167" s="34"/>
      <c r="AT167" s="34"/>
      <c r="AV167" s="34"/>
      <c r="AX167" s="35"/>
      <c r="AY167" s="35"/>
      <c r="AZ167" s="35"/>
      <c r="BA167" s="22"/>
      <c r="BB167" s="22"/>
      <c r="BC167" s="23"/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</row>
    <row r="168" spans="2:65">
      <c r="B168" s="20"/>
      <c r="D168" s="19"/>
      <c r="E168" s="22"/>
      <c r="F168" s="22"/>
      <c r="G168" s="22"/>
      <c r="H168" s="22"/>
      <c r="I168" s="23"/>
      <c r="J168" s="24"/>
      <c r="K168" s="23"/>
      <c r="L168" s="24"/>
      <c r="M168" s="23"/>
      <c r="N168" s="24"/>
      <c r="O168" s="23"/>
      <c r="P168" s="24"/>
      <c r="Q168" s="23"/>
      <c r="R168" s="23"/>
      <c r="S168" s="23"/>
      <c r="T168" s="23"/>
      <c r="U168" s="23"/>
      <c r="V168" s="23"/>
      <c r="W168" s="23"/>
      <c r="X168" s="23"/>
      <c r="AO168" s="34"/>
      <c r="AP168" s="22"/>
      <c r="AQ168" s="22"/>
      <c r="AR168" s="22"/>
      <c r="AS168" s="34"/>
      <c r="AT168" s="34"/>
      <c r="AV168" s="34"/>
      <c r="AX168" s="35"/>
      <c r="AY168" s="35"/>
      <c r="AZ168" s="35"/>
      <c r="BA168" s="22"/>
      <c r="BB168" s="22"/>
      <c r="BC168" s="23"/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</row>
    <row r="169" spans="2:65">
      <c r="B169" s="20"/>
      <c r="D169" s="19"/>
      <c r="E169" s="22"/>
      <c r="F169" s="22"/>
      <c r="G169" s="22"/>
      <c r="H169" s="22"/>
      <c r="I169" s="23"/>
      <c r="J169" s="24"/>
      <c r="K169" s="23"/>
      <c r="L169" s="24"/>
      <c r="M169" s="23"/>
      <c r="N169" s="24"/>
      <c r="O169" s="23"/>
      <c r="P169" s="24"/>
      <c r="Q169" s="23"/>
      <c r="R169" s="23"/>
      <c r="S169" s="23"/>
      <c r="T169" s="23"/>
      <c r="U169" s="23"/>
      <c r="V169" s="23"/>
      <c r="W169" s="23"/>
      <c r="X169" s="23"/>
      <c r="AO169" s="34"/>
      <c r="AP169" s="22"/>
      <c r="AQ169" s="22"/>
      <c r="AR169" s="22"/>
      <c r="AS169" s="34"/>
      <c r="AT169" s="34"/>
      <c r="AV169" s="34"/>
      <c r="AX169" s="35"/>
      <c r="AY169" s="35"/>
      <c r="AZ169" s="35"/>
      <c r="BA169" s="22"/>
      <c r="BB169" s="22"/>
      <c r="BC169" s="23"/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</row>
    <row r="170" spans="2:65">
      <c r="B170" s="20"/>
      <c r="D170" s="19"/>
      <c r="E170" s="22"/>
      <c r="F170" s="22"/>
      <c r="G170" s="22"/>
      <c r="H170" s="22"/>
      <c r="I170" s="23"/>
      <c r="J170" s="24"/>
      <c r="K170" s="23"/>
      <c r="L170" s="24"/>
      <c r="M170" s="23"/>
      <c r="N170" s="24"/>
      <c r="O170" s="23"/>
      <c r="P170" s="24"/>
      <c r="Q170" s="23"/>
      <c r="R170" s="23"/>
      <c r="S170" s="23"/>
      <c r="T170" s="23"/>
      <c r="U170" s="23"/>
      <c r="V170" s="23"/>
      <c r="W170" s="23"/>
      <c r="X170" s="23"/>
      <c r="AO170" s="34"/>
      <c r="AP170" s="22"/>
      <c r="AQ170" s="22"/>
      <c r="AR170" s="22"/>
      <c r="AS170" s="34"/>
      <c r="AT170" s="34"/>
      <c r="AV170" s="34"/>
      <c r="AX170" s="35"/>
      <c r="AY170" s="35"/>
      <c r="AZ170" s="35"/>
      <c r="BA170" s="22"/>
      <c r="BB170" s="22"/>
      <c r="BC170" s="23"/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</row>
    <row r="171" spans="2:65">
      <c r="B171" s="20"/>
      <c r="D171" s="19"/>
      <c r="E171" s="22"/>
      <c r="F171" s="22"/>
      <c r="G171" s="22"/>
      <c r="H171" s="22"/>
      <c r="I171" s="23"/>
      <c r="J171" s="24"/>
      <c r="K171" s="23"/>
      <c r="L171" s="24"/>
      <c r="M171" s="23"/>
      <c r="N171" s="24"/>
      <c r="O171" s="23"/>
      <c r="P171" s="24"/>
      <c r="Q171" s="23"/>
      <c r="R171" s="23"/>
      <c r="S171" s="23"/>
      <c r="T171" s="23"/>
      <c r="U171" s="23"/>
      <c r="V171" s="23"/>
      <c r="W171" s="23"/>
      <c r="X171" s="23"/>
      <c r="AO171" s="34"/>
      <c r="AP171" s="22"/>
      <c r="AQ171" s="22"/>
      <c r="AR171" s="22"/>
      <c r="AS171" s="34"/>
      <c r="AT171" s="34"/>
      <c r="AV171" s="34"/>
      <c r="AX171" s="35"/>
      <c r="AY171" s="35"/>
      <c r="AZ171" s="35"/>
      <c r="BA171" s="22"/>
      <c r="BB171" s="22"/>
      <c r="BC171" s="23"/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</row>
    <row r="172" spans="2:65">
      <c r="B172" s="20"/>
      <c r="D172" s="19"/>
      <c r="E172" s="22"/>
      <c r="F172" s="22"/>
      <c r="G172" s="22"/>
      <c r="H172" s="22"/>
      <c r="I172" s="23"/>
      <c r="J172" s="24"/>
      <c r="K172" s="23"/>
      <c r="L172" s="24"/>
      <c r="M172" s="23"/>
      <c r="N172" s="24"/>
      <c r="O172" s="23"/>
      <c r="P172" s="24"/>
      <c r="Q172" s="23"/>
      <c r="R172" s="23"/>
      <c r="S172" s="23"/>
      <c r="T172" s="23"/>
      <c r="U172" s="23"/>
      <c r="V172" s="23"/>
      <c r="W172" s="23"/>
      <c r="X172" s="23"/>
      <c r="AO172" s="34"/>
      <c r="AP172" s="22"/>
      <c r="AQ172" s="22"/>
      <c r="AR172" s="22"/>
      <c r="AS172" s="34"/>
      <c r="AT172" s="34"/>
      <c r="AV172" s="34"/>
      <c r="AX172" s="35"/>
      <c r="AY172" s="35"/>
      <c r="AZ172" s="35"/>
      <c r="BA172" s="22"/>
      <c r="BB172" s="22"/>
      <c r="BC172" s="23"/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</row>
    <row r="173" spans="2:65">
      <c r="B173" s="20"/>
      <c r="D173" s="19"/>
      <c r="E173" s="22"/>
      <c r="F173" s="22"/>
      <c r="G173" s="22"/>
      <c r="H173" s="22"/>
      <c r="I173" s="23"/>
      <c r="J173" s="24"/>
      <c r="K173" s="23"/>
      <c r="L173" s="24"/>
      <c r="M173" s="23"/>
      <c r="N173" s="24"/>
      <c r="O173" s="23"/>
      <c r="P173" s="24"/>
      <c r="Q173" s="23"/>
      <c r="R173" s="23"/>
      <c r="S173" s="23"/>
      <c r="T173" s="23"/>
      <c r="U173" s="23"/>
      <c r="V173" s="23"/>
      <c r="W173" s="23"/>
      <c r="X173" s="23"/>
      <c r="AO173" s="34"/>
      <c r="AP173" s="22"/>
      <c r="AQ173" s="22"/>
      <c r="AR173" s="22"/>
      <c r="AS173" s="34"/>
      <c r="AT173" s="34"/>
      <c r="AV173" s="34"/>
      <c r="AX173" s="35"/>
      <c r="AY173" s="35"/>
      <c r="AZ173" s="35"/>
      <c r="BA173" s="22"/>
      <c r="BB173" s="22"/>
      <c r="BC173" s="23"/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</row>
    <row r="174" spans="2:65">
      <c r="B174" s="20"/>
      <c r="D174" s="19"/>
      <c r="E174" s="22"/>
      <c r="F174" s="22"/>
      <c r="G174" s="22"/>
      <c r="H174" s="22"/>
      <c r="I174" s="23"/>
      <c r="J174" s="24"/>
      <c r="K174" s="23"/>
      <c r="L174" s="24"/>
      <c r="M174" s="23"/>
      <c r="N174" s="24"/>
      <c r="O174" s="23"/>
      <c r="P174" s="24"/>
      <c r="Q174" s="23"/>
      <c r="R174" s="23"/>
      <c r="S174" s="23"/>
      <c r="T174" s="23"/>
      <c r="U174" s="23"/>
      <c r="V174" s="23"/>
      <c r="W174" s="23"/>
      <c r="X174" s="23"/>
      <c r="AO174" s="34"/>
      <c r="AP174" s="22"/>
      <c r="AQ174" s="22"/>
      <c r="AR174" s="22"/>
      <c r="AS174" s="34"/>
      <c r="AT174" s="34"/>
      <c r="AV174" s="34"/>
      <c r="AX174" s="35"/>
      <c r="AY174" s="35"/>
      <c r="AZ174" s="35"/>
      <c r="BA174" s="22"/>
      <c r="BB174" s="22"/>
      <c r="BC174" s="23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</row>
    <row r="175" spans="2:65">
      <c r="B175" s="20"/>
      <c r="D175" s="19"/>
      <c r="E175" s="22"/>
      <c r="F175" s="22"/>
      <c r="G175" s="22"/>
      <c r="H175" s="22"/>
      <c r="I175" s="23"/>
      <c r="J175" s="24"/>
      <c r="K175" s="23"/>
      <c r="L175" s="24"/>
      <c r="M175" s="23"/>
      <c r="N175" s="24"/>
      <c r="O175" s="23"/>
      <c r="P175" s="24"/>
      <c r="Q175" s="23"/>
      <c r="R175" s="23"/>
      <c r="S175" s="23"/>
      <c r="T175" s="23"/>
      <c r="U175" s="23"/>
      <c r="V175" s="23"/>
      <c r="W175" s="23"/>
      <c r="X175" s="23"/>
      <c r="AO175" s="34"/>
      <c r="AP175" s="22"/>
      <c r="AQ175" s="22"/>
      <c r="AR175" s="22"/>
      <c r="AS175" s="34"/>
      <c r="AT175" s="34"/>
      <c r="AV175" s="34"/>
      <c r="AX175" s="35"/>
      <c r="AY175" s="35"/>
      <c r="AZ175" s="35"/>
      <c r="BA175" s="22"/>
      <c r="BB175" s="22"/>
      <c r="BC175" s="23"/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</row>
    <row r="176" spans="2:65">
      <c r="B176" s="20"/>
      <c r="D176" s="19"/>
      <c r="E176" s="22"/>
      <c r="F176" s="22"/>
      <c r="G176" s="22"/>
      <c r="H176" s="22"/>
      <c r="I176" s="23"/>
      <c r="J176" s="24"/>
      <c r="K176" s="23"/>
      <c r="L176" s="24"/>
      <c r="M176" s="23"/>
      <c r="N176" s="24"/>
      <c r="O176" s="23"/>
      <c r="P176" s="24"/>
      <c r="Q176" s="23"/>
      <c r="R176" s="23"/>
      <c r="S176" s="23"/>
      <c r="T176" s="23"/>
      <c r="U176" s="23"/>
      <c r="V176" s="23"/>
      <c r="W176" s="23"/>
      <c r="X176" s="23"/>
      <c r="AO176" s="34"/>
      <c r="AP176" s="22"/>
      <c r="AQ176" s="22"/>
      <c r="AR176" s="22"/>
      <c r="AS176" s="34"/>
      <c r="AT176" s="34"/>
      <c r="AV176" s="34"/>
      <c r="AX176" s="35"/>
      <c r="AY176" s="35"/>
      <c r="AZ176" s="35"/>
      <c r="BA176" s="22"/>
      <c r="BB176" s="22"/>
      <c r="BC176" s="23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</row>
    <row r="177" spans="2:65">
      <c r="B177" s="20"/>
      <c r="D177" s="19"/>
      <c r="E177" s="22"/>
      <c r="F177" s="22"/>
      <c r="G177" s="22"/>
      <c r="H177" s="22"/>
      <c r="I177" s="23"/>
      <c r="J177" s="24"/>
      <c r="K177" s="23"/>
      <c r="L177" s="24"/>
      <c r="M177" s="23"/>
      <c r="N177" s="24"/>
      <c r="O177" s="23"/>
      <c r="P177" s="24"/>
      <c r="Q177" s="23"/>
      <c r="R177" s="23"/>
      <c r="S177" s="23"/>
      <c r="T177" s="23"/>
      <c r="U177" s="23"/>
      <c r="V177" s="23"/>
      <c r="W177" s="23"/>
      <c r="X177" s="23"/>
      <c r="AO177" s="34"/>
      <c r="AP177" s="22"/>
      <c r="AQ177" s="22"/>
      <c r="AR177" s="22"/>
      <c r="AS177" s="34"/>
      <c r="AT177" s="34"/>
      <c r="AV177" s="34"/>
      <c r="AX177" s="35"/>
      <c r="AY177" s="35"/>
      <c r="AZ177" s="35"/>
      <c r="BA177" s="22"/>
      <c r="BB177" s="22"/>
      <c r="BC177" s="23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</row>
    <row r="178" spans="2:65">
      <c r="B178" s="20"/>
      <c r="D178" s="19"/>
      <c r="E178" s="22"/>
      <c r="F178" s="22"/>
      <c r="G178" s="22"/>
      <c r="H178" s="22"/>
      <c r="I178" s="23"/>
      <c r="J178" s="24"/>
      <c r="K178" s="23"/>
      <c r="L178" s="24"/>
      <c r="M178" s="23"/>
      <c r="N178" s="24"/>
      <c r="O178" s="23"/>
      <c r="P178" s="24"/>
      <c r="Q178" s="23"/>
      <c r="R178" s="23"/>
      <c r="S178" s="23"/>
      <c r="T178" s="23"/>
      <c r="U178" s="23"/>
      <c r="V178" s="23"/>
      <c r="W178" s="23"/>
      <c r="X178" s="23"/>
      <c r="AO178" s="34"/>
      <c r="AP178" s="22"/>
      <c r="AQ178" s="22"/>
      <c r="AR178" s="22"/>
      <c r="AS178" s="34"/>
      <c r="AT178" s="34"/>
      <c r="AV178" s="34"/>
      <c r="AX178" s="35"/>
      <c r="AY178" s="35"/>
      <c r="AZ178" s="35"/>
      <c r="BA178" s="22"/>
      <c r="BB178" s="22"/>
      <c r="BC178" s="23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</row>
    <row r="179" spans="2:65">
      <c r="B179" s="20"/>
      <c r="D179" s="19"/>
      <c r="E179" s="22"/>
      <c r="F179" s="22"/>
      <c r="G179" s="22"/>
      <c r="H179" s="22"/>
      <c r="I179" s="23"/>
      <c r="J179" s="24"/>
      <c r="K179" s="23"/>
      <c r="L179" s="24"/>
      <c r="M179" s="23"/>
      <c r="N179" s="24"/>
      <c r="O179" s="23"/>
      <c r="P179" s="24"/>
      <c r="Q179" s="23"/>
      <c r="R179" s="23"/>
      <c r="S179" s="23"/>
      <c r="T179" s="23"/>
      <c r="U179" s="23"/>
      <c r="V179" s="23"/>
      <c r="W179" s="23"/>
      <c r="X179" s="23"/>
      <c r="AO179" s="34"/>
      <c r="AP179" s="22"/>
      <c r="AQ179" s="22"/>
      <c r="AR179" s="22"/>
      <c r="AS179" s="34"/>
      <c r="AT179" s="34"/>
      <c r="AV179" s="34"/>
      <c r="AX179" s="35"/>
      <c r="AY179" s="35"/>
      <c r="AZ179" s="35"/>
      <c r="BA179" s="22"/>
      <c r="BB179" s="22"/>
      <c r="BC179" s="23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</row>
    <row r="180" spans="2:65">
      <c r="B180" s="20"/>
      <c r="D180" s="19"/>
      <c r="E180" s="22"/>
      <c r="F180" s="22"/>
      <c r="G180" s="22"/>
      <c r="H180" s="22"/>
      <c r="I180" s="23"/>
      <c r="J180" s="24"/>
      <c r="K180" s="23"/>
      <c r="L180" s="24"/>
      <c r="M180" s="23"/>
      <c r="N180" s="24"/>
      <c r="O180" s="23"/>
      <c r="P180" s="24"/>
      <c r="Q180" s="23"/>
      <c r="R180" s="23"/>
      <c r="S180" s="23"/>
      <c r="T180" s="23"/>
      <c r="U180" s="23"/>
      <c r="V180" s="23"/>
      <c r="W180" s="23"/>
      <c r="X180" s="23"/>
      <c r="AO180" s="34"/>
      <c r="AP180" s="22"/>
      <c r="AQ180" s="22"/>
      <c r="AR180" s="22"/>
      <c r="AS180" s="34"/>
      <c r="AT180" s="34"/>
      <c r="AV180" s="34"/>
      <c r="AX180" s="35"/>
      <c r="AY180" s="35"/>
      <c r="AZ180" s="35"/>
      <c r="BA180" s="22"/>
      <c r="BB180" s="22"/>
      <c r="BC180" s="23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</row>
    <row r="181" spans="2:65">
      <c r="B181" s="20"/>
      <c r="D181" s="19"/>
      <c r="E181" s="22"/>
      <c r="F181" s="22"/>
      <c r="G181" s="22"/>
      <c r="H181" s="22"/>
      <c r="I181" s="23"/>
      <c r="J181" s="24"/>
      <c r="K181" s="23"/>
      <c r="L181" s="24"/>
      <c r="M181" s="23"/>
      <c r="N181" s="24"/>
      <c r="O181" s="23"/>
      <c r="P181" s="24"/>
      <c r="Q181" s="23"/>
      <c r="R181" s="23"/>
      <c r="S181" s="23"/>
      <c r="T181" s="23"/>
      <c r="U181" s="23"/>
      <c r="V181" s="23"/>
      <c r="W181" s="23"/>
      <c r="X181" s="23"/>
      <c r="AO181" s="34"/>
      <c r="AP181" s="22"/>
      <c r="AQ181" s="22"/>
      <c r="AR181" s="22"/>
      <c r="AS181" s="34"/>
      <c r="AT181" s="34"/>
      <c r="AV181" s="34"/>
      <c r="AX181" s="35"/>
      <c r="AY181" s="35"/>
      <c r="AZ181" s="35"/>
      <c r="BA181" s="22"/>
      <c r="BB181" s="22"/>
      <c r="BC181" s="23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</row>
    <row r="182" spans="2:65">
      <c r="B182" s="20"/>
      <c r="D182" s="19"/>
      <c r="E182" s="22"/>
      <c r="F182" s="22"/>
      <c r="G182" s="22"/>
      <c r="H182" s="22"/>
      <c r="I182" s="23"/>
      <c r="J182" s="24"/>
      <c r="K182" s="23"/>
      <c r="L182" s="24"/>
      <c r="M182" s="23"/>
      <c r="N182" s="24"/>
      <c r="O182" s="23"/>
      <c r="P182" s="24"/>
      <c r="Q182" s="23"/>
      <c r="R182" s="23"/>
      <c r="S182" s="23"/>
      <c r="T182" s="23"/>
      <c r="U182" s="23"/>
      <c r="V182" s="23"/>
      <c r="W182" s="23"/>
      <c r="X182" s="23"/>
      <c r="AO182" s="34"/>
      <c r="AP182" s="22"/>
      <c r="AQ182" s="22"/>
      <c r="AR182" s="22"/>
      <c r="AS182" s="34"/>
      <c r="AT182" s="34"/>
      <c r="AV182" s="34"/>
      <c r="AX182" s="35"/>
      <c r="AY182" s="35"/>
      <c r="AZ182" s="35"/>
      <c r="BA182" s="22"/>
      <c r="BB182" s="22"/>
      <c r="BC182" s="23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</row>
    <row r="183" spans="2:65">
      <c r="B183" s="20"/>
      <c r="D183" s="19"/>
      <c r="E183" s="22"/>
      <c r="F183" s="22"/>
      <c r="G183" s="22"/>
      <c r="H183" s="22"/>
      <c r="I183" s="23"/>
      <c r="J183" s="24"/>
      <c r="K183" s="23"/>
      <c r="L183" s="24"/>
      <c r="M183" s="23"/>
      <c r="N183" s="24"/>
      <c r="O183" s="23"/>
      <c r="P183" s="24"/>
      <c r="Q183" s="23"/>
      <c r="R183" s="23"/>
      <c r="S183" s="23"/>
      <c r="T183" s="23"/>
      <c r="U183" s="23"/>
      <c r="V183" s="23"/>
      <c r="W183" s="23"/>
      <c r="X183" s="23"/>
      <c r="AO183" s="34"/>
      <c r="AP183" s="22"/>
      <c r="AQ183" s="22"/>
      <c r="AR183" s="22"/>
      <c r="AS183" s="34"/>
      <c r="AT183" s="34"/>
      <c r="AV183" s="34"/>
      <c r="AX183" s="35"/>
      <c r="AY183" s="35"/>
      <c r="AZ183" s="35"/>
      <c r="BA183" s="22"/>
      <c r="BB183" s="22"/>
      <c r="BC183" s="23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</row>
    <row r="184" spans="2:65">
      <c r="B184" s="20"/>
      <c r="D184" s="19"/>
      <c r="E184" s="22"/>
      <c r="F184" s="22"/>
      <c r="G184" s="22"/>
      <c r="H184" s="22"/>
      <c r="I184" s="23"/>
      <c r="J184" s="24"/>
      <c r="K184" s="23"/>
      <c r="L184" s="24"/>
      <c r="M184" s="23"/>
      <c r="N184" s="24"/>
      <c r="O184" s="23"/>
      <c r="P184" s="24"/>
      <c r="Q184" s="23"/>
      <c r="R184" s="23"/>
      <c r="S184" s="23"/>
      <c r="T184" s="23"/>
      <c r="U184" s="23"/>
      <c r="V184" s="23"/>
      <c r="W184" s="23"/>
      <c r="X184" s="23"/>
      <c r="AO184" s="34"/>
      <c r="AP184" s="22"/>
      <c r="AQ184" s="22"/>
      <c r="AR184" s="22"/>
      <c r="AS184" s="34"/>
      <c r="AT184" s="34"/>
      <c r="AV184" s="34"/>
      <c r="AX184" s="35"/>
      <c r="AY184" s="35"/>
      <c r="AZ184" s="35"/>
      <c r="BA184" s="22"/>
      <c r="BB184" s="22"/>
      <c r="BC184" s="23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</row>
    <row r="185" spans="2:65">
      <c r="B185" s="20"/>
      <c r="D185" s="19"/>
      <c r="E185" s="22"/>
      <c r="F185" s="22"/>
      <c r="G185" s="22"/>
      <c r="H185" s="22"/>
      <c r="I185" s="23"/>
      <c r="J185" s="24"/>
      <c r="K185" s="23"/>
      <c r="L185" s="24"/>
      <c r="M185" s="23"/>
      <c r="N185" s="24"/>
      <c r="O185" s="23"/>
      <c r="P185" s="24"/>
      <c r="Q185" s="23"/>
      <c r="R185" s="23"/>
      <c r="S185" s="23"/>
      <c r="T185" s="23"/>
      <c r="U185" s="23"/>
      <c r="V185" s="23"/>
      <c r="W185" s="23"/>
      <c r="X185" s="23"/>
      <c r="AO185" s="34"/>
      <c r="AP185" s="22"/>
      <c r="AQ185" s="22"/>
      <c r="AR185" s="22"/>
      <c r="AS185" s="34"/>
      <c r="AT185" s="34"/>
      <c r="AV185" s="34"/>
      <c r="AX185" s="35"/>
      <c r="AY185" s="35"/>
      <c r="AZ185" s="35"/>
      <c r="BA185" s="22"/>
      <c r="BB185" s="22"/>
      <c r="BC185" s="23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</row>
    <row r="186" spans="2:65">
      <c r="B186" s="20"/>
      <c r="D186" s="19"/>
      <c r="E186" s="22"/>
      <c r="F186" s="22"/>
      <c r="G186" s="22"/>
      <c r="H186" s="22"/>
      <c r="I186" s="23"/>
      <c r="J186" s="24"/>
      <c r="K186" s="23"/>
      <c r="L186" s="24"/>
      <c r="M186" s="23"/>
      <c r="N186" s="24"/>
      <c r="O186" s="23"/>
      <c r="P186" s="24"/>
      <c r="Q186" s="23"/>
      <c r="R186" s="23"/>
      <c r="S186" s="23"/>
      <c r="T186" s="23"/>
      <c r="U186" s="23"/>
      <c r="V186" s="23"/>
      <c r="W186" s="23"/>
      <c r="X186" s="23"/>
      <c r="AO186" s="34"/>
      <c r="AP186" s="22"/>
      <c r="AQ186" s="22"/>
      <c r="AR186" s="22"/>
      <c r="AS186" s="34"/>
      <c r="AT186" s="34"/>
      <c r="AV186" s="34"/>
      <c r="AX186" s="35"/>
      <c r="AY186" s="35"/>
      <c r="AZ186" s="35"/>
      <c r="BA186" s="22"/>
      <c r="BB186" s="22"/>
      <c r="BC186" s="23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</row>
    <row r="187" spans="2:65">
      <c r="B187" s="20"/>
      <c r="D187" s="19"/>
      <c r="E187" s="22"/>
      <c r="F187" s="22"/>
      <c r="G187" s="22"/>
      <c r="H187" s="22"/>
      <c r="I187" s="23"/>
      <c r="J187" s="24"/>
      <c r="K187" s="23"/>
      <c r="L187" s="24"/>
      <c r="M187" s="23"/>
      <c r="N187" s="24"/>
      <c r="O187" s="23"/>
      <c r="P187" s="24"/>
      <c r="Q187" s="23"/>
      <c r="R187" s="23"/>
      <c r="S187" s="23"/>
      <c r="T187" s="23"/>
      <c r="U187" s="23"/>
      <c r="V187" s="23"/>
      <c r="W187" s="23"/>
      <c r="X187" s="23"/>
      <c r="AO187" s="34"/>
      <c r="AP187" s="22"/>
      <c r="AQ187" s="22"/>
      <c r="AR187" s="22"/>
      <c r="AS187" s="34"/>
      <c r="AT187" s="34"/>
      <c r="AV187" s="34"/>
      <c r="AX187" s="35"/>
      <c r="AY187" s="35"/>
      <c r="AZ187" s="35"/>
      <c r="BA187" s="22"/>
      <c r="BB187" s="22"/>
      <c r="BC187" s="23"/>
      <c r="BD187" s="22"/>
      <c r="BE187" s="22"/>
      <c r="BF187" s="22"/>
      <c r="BG187" s="22"/>
      <c r="BH187" s="22"/>
      <c r="BI187" s="22"/>
      <c r="BJ187" s="22"/>
      <c r="BK187" s="22"/>
      <c r="BL187" s="22"/>
      <c r="BM187" s="22"/>
    </row>
    <row r="188" spans="2:65">
      <c r="B188" s="20"/>
      <c r="D188" s="19"/>
      <c r="E188" s="22"/>
      <c r="F188" s="22"/>
      <c r="G188" s="22"/>
      <c r="H188" s="22"/>
      <c r="I188" s="23"/>
      <c r="J188" s="24"/>
      <c r="K188" s="23"/>
      <c r="L188" s="24"/>
      <c r="M188" s="23"/>
      <c r="N188" s="24"/>
      <c r="O188" s="23"/>
      <c r="P188" s="24"/>
      <c r="Q188" s="23"/>
      <c r="R188" s="23"/>
      <c r="S188" s="23"/>
      <c r="T188" s="23"/>
      <c r="U188" s="23"/>
      <c r="V188" s="23"/>
      <c r="W188" s="23"/>
      <c r="X188" s="23"/>
      <c r="AO188" s="34"/>
      <c r="AP188" s="22"/>
      <c r="AQ188" s="22"/>
      <c r="AR188" s="22"/>
      <c r="AS188" s="34"/>
      <c r="AT188" s="34"/>
      <c r="AV188" s="34"/>
      <c r="AX188" s="35"/>
      <c r="AY188" s="35"/>
      <c r="AZ188" s="35"/>
      <c r="BA188" s="22"/>
      <c r="BB188" s="22"/>
      <c r="BC188" s="23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</row>
    <row r="189" spans="2:65">
      <c r="B189" s="20"/>
      <c r="D189" s="19"/>
      <c r="E189" s="22"/>
      <c r="F189" s="22"/>
      <c r="G189" s="22"/>
      <c r="H189" s="22"/>
      <c r="I189" s="23"/>
      <c r="J189" s="24"/>
      <c r="K189" s="23"/>
      <c r="L189" s="24"/>
      <c r="M189" s="23"/>
      <c r="N189" s="24"/>
      <c r="O189" s="23"/>
      <c r="P189" s="24"/>
      <c r="Q189" s="23"/>
      <c r="R189" s="23"/>
      <c r="S189" s="23"/>
      <c r="T189" s="23"/>
      <c r="U189" s="23"/>
      <c r="V189" s="23"/>
      <c r="W189" s="23"/>
      <c r="X189" s="23"/>
      <c r="AO189" s="34"/>
      <c r="AP189" s="22"/>
      <c r="AQ189" s="22"/>
      <c r="AR189" s="22"/>
      <c r="AS189" s="34"/>
      <c r="AT189" s="34"/>
      <c r="AV189" s="34"/>
      <c r="AX189" s="35"/>
      <c r="AY189" s="35"/>
      <c r="AZ189" s="35"/>
      <c r="BA189" s="22"/>
      <c r="BB189" s="22"/>
      <c r="BC189" s="23"/>
      <c r="BD189" s="22"/>
      <c r="BE189" s="22"/>
      <c r="BF189" s="22"/>
      <c r="BG189" s="22"/>
      <c r="BH189" s="22"/>
      <c r="BI189" s="22"/>
      <c r="BJ189" s="22"/>
      <c r="BK189" s="22"/>
      <c r="BL189" s="22"/>
      <c r="BM189" s="22"/>
    </row>
    <row r="190" spans="2:65">
      <c r="B190" s="20"/>
      <c r="D190" s="19"/>
      <c r="E190" s="22"/>
      <c r="F190" s="22"/>
      <c r="G190" s="22"/>
      <c r="H190" s="22"/>
      <c r="I190" s="23"/>
      <c r="J190" s="24"/>
      <c r="K190" s="23"/>
      <c r="L190" s="24"/>
      <c r="M190" s="23"/>
      <c r="N190" s="24"/>
      <c r="O190" s="23"/>
      <c r="P190" s="24"/>
      <c r="Q190" s="23"/>
      <c r="R190" s="23"/>
      <c r="S190" s="23"/>
      <c r="T190" s="23"/>
      <c r="U190" s="23"/>
      <c r="V190" s="23"/>
      <c r="W190" s="23"/>
      <c r="X190" s="23"/>
      <c r="AO190" s="34"/>
      <c r="AP190" s="22"/>
      <c r="AQ190" s="22"/>
      <c r="AR190" s="22"/>
      <c r="AS190" s="34"/>
      <c r="AT190" s="34"/>
      <c r="AV190" s="34"/>
      <c r="AX190" s="35"/>
      <c r="AY190" s="35"/>
      <c r="AZ190" s="35"/>
      <c r="BA190" s="22"/>
      <c r="BB190" s="22"/>
      <c r="BC190" s="23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</row>
    <row r="191" spans="2:65">
      <c r="B191" s="20"/>
      <c r="D191" s="19"/>
      <c r="E191" s="22"/>
      <c r="F191" s="22"/>
      <c r="G191" s="22"/>
      <c r="H191" s="22"/>
      <c r="I191" s="23"/>
      <c r="J191" s="24"/>
      <c r="K191" s="23"/>
      <c r="L191" s="24"/>
      <c r="M191" s="23"/>
      <c r="N191" s="24"/>
      <c r="O191" s="23"/>
      <c r="P191" s="24"/>
      <c r="Q191" s="23"/>
      <c r="R191" s="23"/>
      <c r="S191" s="23"/>
      <c r="T191" s="23"/>
      <c r="U191" s="23"/>
      <c r="V191" s="23"/>
      <c r="W191" s="23"/>
      <c r="X191" s="23"/>
      <c r="AO191" s="34"/>
      <c r="AP191" s="22"/>
      <c r="AQ191" s="22"/>
      <c r="AR191" s="22"/>
      <c r="AS191" s="34"/>
      <c r="AT191" s="34"/>
      <c r="AV191" s="34"/>
      <c r="AX191" s="35"/>
      <c r="AY191" s="35"/>
      <c r="AZ191" s="35"/>
      <c r="BA191" s="22"/>
      <c r="BB191" s="22"/>
      <c r="BC191" s="23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</row>
    <row r="192" spans="2:65">
      <c r="B192" s="20"/>
      <c r="D192" s="19"/>
      <c r="E192" s="22"/>
      <c r="F192" s="22"/>
      <c r="G192" s="22"/>
      <c r="H192" s="22"/>
      <c r="I192" s="23"/>
      <c r="J192" s="24"/>
      <c r="K192" s="23"/>
      <c r="L192" s="24"/>
      <c r="M192" s="23"/>
      <c r="N192" s="24"/>
      <c r="O192" s="23"/>
      <c r="P192" s="24"/>
      <c r="Q192" s="23"/>
      <c r="R192" s="23"/>
      <c r="S192" s="23"/>
      <c r="T192" s="23"/>
      <c r="U192" s="23"/>
      <c r="V192" s="23"/>
      <c r="W192" s="23"/>
      <c r="X192" s="23"/>
      <c r="AO192" s="34"/>
      <c r="AP192" s="22"/>
      <c r="AQ192" s="22"/>
      <c r="AR192" s="22"/>
      <c r="AS192" s="34"/>
      <c r="AT192" s="34"/>
      <c r="AV192" s="34"/>
      <c r="AX192" s="35"/>
      <c r="AY192" s="35"/>
      <c r="AZ192" s="35"/>
      <c r="BA192" s="22"/>
      <c r="BB192" s="22"/>
      <c r="BC192" s="23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</row>
    <row r="193" spans="2:65">
      <c r="B193" s="20"/>
      <c r="D193" s="19"/>
      <c r="E193" s="22"/>
      <c r="F193" s="22"/>
      <c r="G193" s="22"/>
      <c r="H193" s="22"/>
      <c r="I193" s="23"/>
      <c r="J193" s="24"/>
      <c r="K193" s="23"/>
      <c r="L193" s="24"/>
      <c r="M193" s="23"/>
      <c r="N193" s="24"/>
      <c r="O193" s="23"/>
      <c r="P193" s="24"/>
      <c r="Q193" s="23"/>
      <c r="R193" s="23"/>
      <c r="S193" s="23"/>
      <c r="T193" s="23"/>
      <c r="U193" s="23"/>
      <c r="V193" s="23"/>
      <c r="W193" s="23"/>
      <c r="X193" s="23"/>
      <c r="AO193" s="34"/>
      <c r="AP193" s="22"/>
      <c r="AQ193" s="22"/>
      <c r="AR193" s="22"/>
      <c r="AS193" s="34"/>
      <c r="AT193" s="34"/>
      <c r="AV193" s="34"/>
      <c r="AX193" s="35"/>
      <c r="AY193" s="35"/>
      <c r="AZ193" s="35"/>
      <c r="BA193" s="22"/>
      <c r="BB193" s="22"/>
      <c r="BC193" s="23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</row>
    <row r="194" spans="2:65">
      <c r="B194" s="20"/>
      <c r="D194" s="19"/>
      <c r="E194" s="22"/>
      <c r="F194" s="22"/>
      <c r="G194" s="22"/>
      <c r="H194" s="22"/>
      <c r="I194" s="23"/>
      <c r="J194" s="24"/>
      <c r="K194" s="23"/>
      <c r="L194" s="24"/>
      <c r="M194" s="23"/>
      <c r="N194" s="24"/>
      <c r="O194" s="23"/>
      <c r="P194" s="24"/>
      <c r="Q194" s="23"/>
      <c r="R194" s="23"/>
      <c r="S194" s="23"/>
      <c r="T194" s="23"/>
      <c r="U194" s="23"/>
      <c r="V194" s="23"/>
      <c r="W194" s="23"/>
      <c r="X194" s="23"/>
      <c r="AO194" s="34"/>
      <c r="AP194" s="22"/>
      <c r="AQ194" s="22"/>
      <c r="AR194" s="22"/>
      <c r="AS194" s="34"/>
      <c r="AT194" s="34"/>
      <c r="AV194" s="34"/>
      <c r="AX194" s="35"/>
      <c r="AY194" s="35"/>
      <c r="AZ194" s="35"/>
      <c r="BA194" s="22"/>
      <c r="BB194" s="22"/>
      <c r="BC194" s="23"/>
      <c r="BD194" s="22"/>
      <c r="BE194" s="22"/>
      <c r="BF194" s="22"/>
      <c r="BG194" s="22"/>
      <c r="BH194" s="22"/>
      <c r="BI194" s="22"/>
      <c r="BJ194" s="22"/>
      <c r="BK194" s="22"/>
      <c r="BL194" s="22"/>
      <c r="BM194" s="22"/>
    </row>
    <row r="195" spans="2:65">
      <c r="B195" s="20"/>
      <c r="D195" s="19"/>
      <c r="E195" s="22"/>
      <c r="F195" s="22"/>
      <c r="G195" s="22"/>
      <c r="H195" s="22"/>
      <c r="I195" s="23"/>
      <c r="J195" s="24"/>
      <c r="K195" s="23"/>
      <c r="L195" s="24"/>
      <c r="M195" s="23"/>
      <c r="N195" s="24"/>
      <c r="O195" s="23"/>
      <c r="P195" s="24"/>
      <c r="Q195" s="23"/>
      <c r="R195" s="23"/>
      <c r="S195" s="23"/>
      <c r="T195" s="23"/>
      <c r="U195" s="23"/>
      <c r="V195" s="23"/>
      <c r="W195" s="23"/>
      <c r="X195" s="23"/>
      <c r="AO195" s="34"/>
      <c r="AP195" s="22"/>
      <c r="AQ195" s="22"/>
      <c r="AR195" s="22"/>
      <c r="AS195" s="34"/>
      <c r="AT195" s="34"/>
      <c r="AV195" s="34"/>
      <c r="AX195" s="35"/>
      <c r="AY195" s="35"/>
      <c r="AZ195" s="35"/>
      <c r="BA195" s="22"/>
      <c r="BB195" s="22"/>
      <c r="BC195" s="23"/>
      <c r="BD195" s="22"/>
      <c r="BE195" s="22"/>
      <c r="BF195" s="22"/>
      <c r="BG195" s="22"/>
      <c r="BH195" s="22"/>
      <c r="BI195" s="22"/>
      <c r="BJ195" s="22"/>
      <c r="BK195" s="22"/>
      <c r="BL195" s="22"/>
      <c r="BM195" s="22"/>
    </row>
    <row r="196" spans="2:65">
      <c r="B196" s="20"/>
      <c r="D196" s="19"/>
      <c r="E196" s="22"/>
      <c r="F196" s="22"/>
      <c r="G196" s="22"/>
      <c r="H196" s="22"/>
      <c r="I196" s="23"/>
      <c r="J196" s="24"/>
      <c r="K196" s="23"/>
      <c r="L196" s="24"/>
      <c r="M196" s="23"/>
      <c r="N196" s="24"/>
      <c r="O196" s="23"/>
      <c r="P196" s="24"/>
      <c r="Q196" s="23"/>
      <c r="R196" s="23"/>
      <c r="S196" s="23"/>
      <c r="T196" s="23"/>
      <c r="U196" s="23"/>
      <c r="V196" s="23"/>
      <c r="W196" s="23"/>
      <c r="X196" s="23"/>
      <c r="AO196" s="34"/>
      <c r="AP196" s="22"/>
      <c r="AQ196" s="22"/>
      <c r="AR196" s="22"/>
      <c r="AS196" s="34"/>
      <c r="AT196" s="34"/>
      <c r="AV196" s="34"/>
      <c r="AX196" s="35"/>
      <c r="AY196" s="35"/>
      <c r="AZ196" s="35"/>
      <c r="BA196" s="22"/>
      <c r="BB196" s="22"/>
      <c r="BC196" s="23"/>
      <c r="BD196" s="22"/>
      <c r="BE196" s="22"/>
      <c r="BF196" s="22"/>
      <c r="BG196" s="22"/>
      <c r="BH196" s="22"/>
      <c r="BI196" s="22"/>
      <c r="BJ196" s="22"/>
      <c r="BK196" s="22"/>
      <c r="BL196" s="22"/>
      <c r="BM196" s="22"/>
    </row>
    <row r="197" spans="2:65">
      <c r="B197" s="20"/>
      <c r="D197" s="19"/>
      <c r="E197" s="22"/>
      <c r="F197" s="22"/>
      <c r="G197" s="22"/>
      <c r="H197" s="22"/>
      <c r="I197" s="23"/>
      <c r="J197" s="24"/>
      <c r="K197" s="23"/>
      <c r="L197" s="24"/>
      <c r="M197" s="23"/>
      <c r="N197" s="24"/>
      <c r="O197" s="23"/>
      <c r="P197" s="24"/>
      <c r="Q197" s="23"/>
      <c r="R197" s="23"/>
      <c r="S197" s="23"/>
      <c r="T197" s="23"/>
      <c r="U197" s="23"/>
      <c r="V197" s="23"/>
      <c r="W197" s="23"/>
      <c r="X197" s="23"/>
      <c r="AO197" s="34"/>
      <c r="AP197" s="22"/>
      <c r="AQ197" s="22"/>
      <c r="AR197" s="22"/>
      <c r="AS197" s="34"/>
      <c r="AT197" s="34"/>
      <c r="AV197" s="34"/>
      <c r="AX197" s="35"/>
      <c r="AY197" s="35"/>
      <c r="AZ197" s="35"/>
      <c r="BA197" s="22"/>
      <c r="BB197" s="22"/>
      <c r="BC197" s="23"/>
      <c r="BD197" s="22"/>
      <c r="BE197" s="22"/>
      <c r="BF197" s="22"/>
      <c r="BG197" s="22"/>
      <c r="BH197" s="22"/>
      <c r="BI197" s="22"/>
      <c r="BJ197" s="22"/>
      <c r="BK197" s="22"/>
      <c r="BL197" s="22"/>
      <c r="BM197" s="22"/>
    </row>
    <row r="198" spans="2:65">
      <c r="B198" s="20"/>
      <c r="D198" s="19"/>
      <c r="E198" s="22"/>
      <c r="F198" s="22"/>
      <c r="G198" s="22"/>
      <c r="H198" s="22"/>
      <c r="I198" s="23"/>
      <c r="J198" s="24"/>
      <c r="K198" s="23"/>
      <c r="L198" s="24"/>
      <c r="M198" s="23"/>
      <c r="N198" s="24"/>
      <c r="O198" s="23"/>
      <c r="P198" s="24"/>
      <c r="Q198" s="23"/>
      <c r="R198" s="23"/>
      <c r="S198" s="23"/>
      <c r="T198" s="23"/>
      <c r="U198" s="23"/>
      <c r="V198" s="23"/>
      <c r="W198" s="23"/>
      <c r="X198" s="23"/>
      <c r="AO198" s="34"/>
      <c r="AP198" s="22"/>
      <c r="AQ198" s="22"/>
      <c r="AR198" s="22"/>
      <c r="AS198" s="34"/>
      <c r="AT198" s="34"/>
      <c r="AV198" s="34"/>
      <c r="AX198" s="35"/>
      <c r="AY198" s="35"/>
      <c r="AZ198" s="35"/>
      <c r="BA198" s="22"/>
      <c r="BB198" s="22"/>
      <c r="BC198" s="23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</row>
    <row r="199" spans="2:65">
      <c r="B199" s="20"/>
      <c r="D199" s="19"/>
      <c r="E199" s="22"/>
      <c r="F199" s="22"/>
      <c r="G199" s="22"/>
      <c r="H199" s="22"/>
      <c r="I199" s="23"/>
      <c r="J199" s="24"/>
      <c r="K199" s="23"/>
      <c r="L199" s="24"/>
      <c r="M199" s="23"/>
      <c r="N199" s="24"/>
      <c r="O199" s="23"/>
      <c r="P199" s="24"/>
      <c r="Q199" s="23"/>
      <c r="R199" s="23"/>
      <c r="S199" s="23"/>
      <c r="T199" s="23"/>
      <c r="U199" s="23"/>
      <c r="V199" s="23"/>
      <c r="W199" s="23"/>
      <c r="X199" s="23"/>
      <c r="AO199" s="34"/>
      <c r="AP199" s="22"/>
      <c r="AQ199" s="22"/>
      <c r="AR199" s="22"/>
      <c r="AS199" s="34"/>
      <c r="AT199" s="34"/>
      <c r="AV199" s="34"/>
      <c r="AX199" s="35"/>
      <c r="AY199" s="35"/>
      <c r="AZ199" s="35"/>
      <c r="BA199" s="22"/>
      <c r="BB199" s="22"/>
      <c r="BC199" s="23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</row>
    <row r="200" spans="2:65">
      <c r="B200" s="20"/>
      <c r="D200" s="19"/>
      <c r="E200" s="22"/>
      <c r="F200" s="22"/>
      <c r="G200" s="22"/>
      <c r="H200" s="22"/>
      <c r="I200" s="23"/>
      <c r="J200" s="24"/>
      <c r="K200" s="23"/>
      <c r="L200" s="24"/>
      <c r="M200" s="23"/>
      <c r="N200" s="24"/>
      <c r="O200" s="23"/>
      <c r="P200" s="24"/>
      <c r="Q200" s="23"/>
      <c r="R200" s="23"/>
      <c r="S200" s="23"/>
      <c r="T200" s="23"/>
      <c r="U200" s="23"/>
      <c r="V200" s="23"/>
      <c r="W200" s="23"/>
      <c r="X200" s="23"/>
      <c r="AO200" s="34"/>
      <c r="AP200" s="22"/>
      <c r="AQ200" s="22"/>
      <c r="AR200" s="22"/>
      <c r="AS200" s="34"/>
      <c r="AT200" s="34"/>
      <c r="AV200" s="34"/>
      <c r="AX200" s="35"/>
      <c r="AY200" s="35"/>
      <c r="AZ200" s="35"/>
      <c r="BA200" s="22"/>
      <c r="BB200" s="22"/>
      <c r="BC200" s="23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</row>
    <row r="201" spans="2:65">
      <c r="B201" s="20"/>
      <c r="D201" s="19"/>
      <c r="E201" s="22"/>
      <c r="F201" s="22"/>
      <c r="G201" s="22"/>
      <c r="H201" s="22"/>
      <c r="I201" s="23"/>
      <c r="J201" s="24"/>
      <c r="K201" s="23"/>
      <c r="L201" s="24"/>
      <c r="M201" s="23"/>
      <c r="N201" s="24"/>
      <c r="O201" s="23"/>
      <c r="P201" s="24"/>
      <c r="Q201" s="23"/>
      <c r="R201" s="23"/>
      <c r="S201" s="23"/>
      <c r="T201" s="23"/>
      <c r="U201" s="23"/>
      <c r="V201" s="23"/>
      <c r="W201" s="23"/>
      <c r="X201" s="23"/>
      <c r="AO201" s="34"/>
      <c r="AP201" s="22"/>
      <c r="AQ201" s="22"/>
      <c r="AR201" s="22"/>
      <c r="AS201" s="34"/>
      <c r="AT201" s="34"/>
      <c r="AV201" s="34"/>
      <c r="AX201" s="35"/>
      <c r="AY201" s="35"/>
      <c r="AZ201" s="35"/>
      <c r="BA201" s="22"/>
      <c r="BB201" s="22"/>
      <c r="BC201" s="23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</row>
    <row r="202" spans="2:65">
      <c r="B202" s="20"/>
      <c r="D202" s="19"/>
      <c r="E202" s="22"/>
      <c r="F202" s="22"/>
      <c r="G202" s="22"/>
      <c r="H202" s="22"/>
      <c r="I202" s="23"/>
      <c r="J202" s="24"/>
      <c r="K202" s="23"/>
      <c r="L202" s="24"/>
      <c r="M202" s="23"/>
      <c r="N202" s="24"/>
      <c r="O202" s="23"/>
      <c r="P202" s="24"/>
      <c r="Q202" s="23"/>
      <c r="R202" s="23"/>
      <c r="S202" s="23"/>
      <c r="T202" s="23"/>
      <c r="U202" s="23"/>
      <c r="V202" s="23"/>
      <c r="W202" s="23"/>
      <c r="X202" s="23"/>
      <c r="AO202" s="34"/>
      <c r="AP202" s="22"/>
      <c r="AQ202" s="22"/>
      <c r="AR202" s="22"/>
      <c r="AS202" s="34"/>
      <c r="AT202" s="34"/>
      <c r="AV202" s="34"/>
      <c r="AX202" s="35"/>
      <c r="AY202" s="35"/>
      <c r="AZ202" s="35"/>
      <c r="BA202" s="22"/>
      <c r="BB202" s="22"/>
      <c r="BC202" s="23"/>
      <c r="BD202" s="22"/>
      <c r="BE202" s="22"/>
      <c r="BF202" s="22"/>
      <c r="BG202" s="22"/>
      <c r="BH202" s="22"/>
      <c r="BI202" s="22"/>
      <c r="BJ202" s="22"/>
      <c r="BK202" s="22"/>
      <c r="BL202" s="22"/>
      <c r="BM202" s="22"/>
    </row>
    <row r="203" spans="2:65">
      <c r="B203" s="20"/>
      <c r="D203" s="19"/>
      <c r="E203" s="22"/>
      <c r="F203" s="22"/>
      <c r="G203" s="22"/>
      <c r="H203" s="22"/>
      <c r="I203" s="23"/>
      <c r="J203" s="24"/>
      <c r="K203" s="23"/>
      <c r="L203" s="24"/>
      <c r="M203" s="23"/>
      <c r="N203" s="24"/>
      <c r="O203" s="23"/>
      <c r="P203" s="24"/>
      <c r="Q203" s="23"/>
      <c r="R203" s="23"/>
      <c r="S203" s="23"/>
      <c r="T203" s="23"/>
      <c r="U203" s="23"/>
      <c r="V203" s="23"/>
      <c r="W203" s="23"/>
      <c r="X203" s="23"/>
      <c r="AO203" s="34"/>
      <c r="AP203" s="22"/>
      <c r="AQ203" s="22"/>
      <c r="AR203" s="22"/>
      <c r="AS203" s="34"/>
      <c r="AT203" s="34"/>
      <c r="AV203" s="34"/>
      <c r="AX203" s="35"/>
      <c r="AY203" s="35"/>
      <c r="AZ203" s="35"/>
      <c r="BA203" s="22"/>
      <c r="BB203" s="22"/>
      <c r="BC203" s="23"/>
      <c r="BD203" s="22"/>
      <c r="BE203" s="22"/>
      <c r="BF203" s="22"/>
      <c r="BG203" s="22"/>
      <c r="BH203" s="22"/>
      <c r="BI203" s="22"/>
      <c r="BJ203" s="22"/>
      <c r="BK203" s="22"/>
      <c r="BL203" s="22"/>
      <c r="BM203" s="22"/>
    </row>
    <row r="204" spans="2:65">
      <c r="B204" s="20"/>
      <c r="D204" s="19"/>
      <c r="E204" s="22"/>
      <c r="F204" s="22"/>
      <c r="G204" s="22"/>
      <c r="H204" s="22"/>
      <c r="I204" s="23"/>
      <c r="J204" s="24"/>
      <c r="K204" s="23"/>
      <c r="L204" s="24"/>
      <c r="M204" s="23"/>
      <c r="N204" s="24"/>
      <c r="O204" s="23"/>
      <c r="P204" s="24"/>
      <c r="Q204" s="23"/>
      <c r="R204" s="23"/>
      <c r="S204" s="23"/>
      <c r="T204" s="23"/>
      <c r="U204" s="23"/>
      <c r="V204" s="23"/>
      <c r="W204" s="23"/>
      <c r="X204" s="23"/>
      <c r="AO204" s="34"/>
      <c r="AP204" s="22"/>
      <c r="AQ204" s="22"/>
      <c r="AR204" s="22"/>
      <c r="AS204" s="34"/>
      <c r="AT204" s="34"/>
      <c r="AV204" s="34"/>
      <c r="AX204" s="35"/>
      <c r="AY204" s="35"/>
      <c r="AZ204" s="35"/>
      <c r="BA204" s="22"/>
      <c r="BB204" s="22"/>
      <c r="BC204" s="23"/>
      <c r="BD204" s="22"/>
      <c r="BE204" s="22"/>
      <c r="BF204" s="22"/>
      <c r="BG204" s="22"/>
      <c r="BH204" s="22"/>
      <c r="BI204" s="22"/>
      <c r="BJ204" s="22"/>
      <c r="BK204" s="22"/>
      <c r="BL204" s="22"/>
      <c r="BM204" s="22"/>
    </row>
    <row r="205" spans="2:65">
      <c r="B205" s="20"/>
      <c r="D205" s="19"/>
      <c r="E205" s="22"/>
      <c r="F205" s="22"/>
      <c r="G205" s="22"/>
      <c r="H205" s="22"/>
      <c r="I205" s="23"/>
      <c r="J205" s="24"/>
      <c r="K205" s="23"/>
      <c r="L205" s="24"/>
      <c r="M205" s="23"/>
      <c r="N205" s="24"/>
      <c r="O205" s="23"/>
      <c r="P205" s="24"/>
      <c r="Q205" s="23"/>
      <c r="R205" s="23"/>
      <c r="S205" s="23"/>
      <c r="T205" s="23"/>
      <c r="U205" s="23"/>
      <c r="V205" s="23"/>
      <c r="W205" s="23"/>
      <c r="X205" s="23"/>
      <c r="AO205" s="34"/>
      <c r="AP205" s="22"/>
      <c r="AQ205" s="22"/>
      <c r="AR205" s="22"/>
      <c r="AS205" s="34"/>
      <c r="AT205" s="34"/>
      <c r="AV205" s="34"/>
      <c r="AX205" s="35"/>
      <c r="AY205" s="35"/>
      <c r="AZ205" s="35"/>
      <c r="BA205" s="22"/>
      <c r="BB205" s="22"/>
      <c r="BC205" s="23"/>
      <c r="BD205" s="22"/>
      <c r="BE205" s="22"/>
      <c r="BF205" s="22"/>
      <c r="BG205" s="22"/>
      <c r="BH205" s="22"/>
      <c r="BI205" s="22"/>
      <c r="BJ205" s="22"/>
      <c r="BK205" s="22"/>
      <c r="BL205" s="22"/>
      <c r="BM205" s="22"/>
    </row>
    <row r="206" spans="2:65">
      <c r="B206" s="20"/>
      <c r="D206" s="19"/>
      <c r="E206" s="22"/>
      <c r="F206" s="22"/>
      <c r="G206" s="22"/>
      <c r="H206" s="22"/>
      <c r="I206" s="23"/>
      <c r="J206" s="24"/>
      <c r="K206" s="23"/>
      <c r="L206" s="24"/>
      <c r="M206" s="23"/>
      <c r="N206" s="24"/>
      <c r="O206" s="23"/>
      <c r="P206" s="24"/>
      <c r="Q206" s="23"/>
      <c r="R206" s="23"/>
      <c r="S206" s="23"/>
      <c r="T206" s="23"/>
      <c r="U206" s="23"/>
      <c r="V206" s="23"/>
      <c r="W206" s="23"/>
      <c r="X206" s="23"/>
      <c r="AO206" s="34"/>
      <c r="AP206" s="22"/>
      <c r="AQ206" s="22"/>
      <c r="AR206" s="22"/>
      <c r="AS206" s="34"/>
      <c r="AT206" s="34"/>
      <c r="AV206" s="34"/>
      <c r="AX206" s="35"/>
      <c r="AY206" s="35"/>
      <c r="AZ206" s="35"/>
      <c r="BA206" s="22"/>
      <c r="BB206" s="22"/>
      <c r="BC206" s="23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</row>
    <row r="207" spans="2:65">
      <c r="B207" s="20"/>
      <c r="D207" s="19"/>
      <c r="E207" s="22"/>
      <c r="F207" s="22"/>
      <c r="G207" s="22"/>
      <c r="H207" s="22"/>
      <c r="I207" s="23"/>
      <c r="J207" s="24"/>
      <c r="K207" s="23"/>
      <c r="L207" s="24"/>
      <c r="M207" s="23"/>
      <c r="N207" s="24"/>
      <c r="O207" s="23"/>
      <c r="P207" s="24"/>
      <c r="Q207" s="23"/>
      <c r="R207" s="23"/>
      <c r="S207" s="23"/>
      <c r="T207" s="23"/>
      <c r="U207" s="23"/>
      <c r="V207" s="23"/>
      <c r="W207" s="23"/>
      <c r="X207" s="23"/>
      <c r="AO207" s="34"/>
      <c r="AP207" s="22"/>
      <c r="AQ207" s="22"/>
      <c r="AR207" s="22"/>
      <c r="AS207" s="34"/>
      <c r="AT207" s="34"/>
      <c r="AV207" s="34"/>
      <c r="AX207" s="35"/>
      <c r="AY207" s="35"/>
      <c r="AZ207" s="35"/>
      <c r="BA207" s="22"/>
      <c r="BB207" s="22"/>
      <c r="BC207" s="23"/>
      <c r="BD207" s="22"/>
      <c r="BE207" s="22"/>
      <c r="BF207" s="22"/>
      <c r="BG207" s="22"/>
      <c r="BH207" s="22"/>
      <c r="BI207" s="22"/>
      <c r="BJ207" s="22"/>
      <c r="BK207" s="22"/>
      <c r="BL207" s="22"/>
      <c r="BM207" s="22"/>
    </row>
    <row r="208" spans="2:65">
      <c r="B208" s="20"/>
      <c r="D208" s="19"/>
      <c r="E208" s="22"/>
      <c r="F208" s="22"/>
      <c r="G208" s="22"/>
      <c r="H208" s="22"/>
      <c r="I208" s="23"/>
      <c r="J208" s="24"/>
      <c r="K208" s="23"/>
      <c r="L208" s="24"/>
      <c r="M208" s="23"/>
      <c r="N208" s="24"/>
      <c r="O208" s="23"/>
      <c r="P208" s="24"/>
      <c r="Q208" s="23"/>
      <c r="R208" s="23"/>
      <c r="S208" s="23"/>
      <c r="T208" s="23"/>
      <c r="U208" s="23"/>
      <c r="V208" s="23"/>
      <c r="W208" s="23"/>
      <c r="X208" s="23"/>
      <c r="AO208" s="34"/>
      <c r="AP208" s="22"/>
      <c r="AQ208" s="22"/>
      <c r="AR208" s="22"/>
      <c r="AS208" s="34"/>
      <c r="AT208" s="34"/>
      <c r="AV208" s="34"/>
      <c r="AX208" s="35"/>
      <c r="AY208" s="35"/>
      <c r="AZ208" s="35"/>
      <c r="BA208" s="22"/>
      <c r="BB208" s="22"/>
      <c r="BC208" s="23"/>
      <c r="BD208" s="22"/>
      <c r="BE208" s="22"/>
      <c r="BF208" s="22"/>
      <c r="BG208" s="22"/>
      <c r="BH208" s="22"/>
      <c r="BI208" s="22"/>
      <c r="BJ208" s="22"/>
      <c r="BK208" s="22"/>
      <c r="BL208" s="22"/>
      <c r="BM208" s="22"/>
    </row>
    <row r="209" spans="2:65">
      <c r="B209" s="20"/>
      <c r="D209" s="19"/>
      <c r="E209" s="22"/>
      <c r="F209" s="22"/>
      <c r="G209" s="22"/>
      <c r="H209" s="22"/>
      <c r="I209" s="23"/>
      <c r="J209" s="24"/>
      <c r="K209" s="23"/>
      <c r="L209" s="24"/>
      <c r="M209" s="23"/>
      <c r="N209" s="24"/>
      <c r="O209" s="23"/>
      <c r="P209" s="24"/>
      <c r="Q209" s="23"/>
      <c r="R209" s="23"/>
      <c r="S209" s="23"/>
      <c r="T209" s="23"/>
      <c r="U209" s="23"/>
      <c r="V209" s="23"/>
      <c r="W209" s="23"/>
      <c r="X209" s="23"/>
      <c r="AO209" s="34"/>
      <c r="AP209" s="22"/>
      <c r="AQ209" s="22"/>
      <c r="AR209" s="22"/>
      <c r="AS209" s="34"/>
      <c r="AT209" s="34"/>
      <c r="AV209" s="34"/>
      <c r="AX209" s="35"/>
      <c r="AY209" s="35"/>
      <c r="AZ209" s="35"/>
      <c r="BA209" s="22"/>
      <c r="BB209" s="22"/>
      <c r="BC209" s="23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</row>
    <row r="210" spans="2:65">
      <c r="B210" s="20"/>
      <c r="D210" s="19"/>
      <c r="E210" s="22"/>
      <c r="F210" s="22"/>
      <c r="G210" s="22"/>
      <c r="H210" s="22"/>
      <c r="I210" s="23"/>
      <c r="J210" s="24"/>
      <c r="K210" s="23"/>
      <c r="L210" s="24"/>
      <c r="M210" s="23"/>
      <c r="N210" s="24"/>
      <c r="O210" s="23"/>
      <c r="P210" s="24"/>
      <c r="Q210" s="23"/>
      <c r="R210" s="23"/>
      <c r="S210" s="23"/>
      <c r="T210" s="23"/>
      <c r="U210" s="23"/>
      <c r="V210" s="23"/>
      <c r="W210" s="23"/>
      <c r="X210" s="23"/>
      <c r="AO210" s="34"/>
      <c r="AP210" s="22"/>
      <c r="AQ210" s="22"/>
      <c r="AR210" s="22"/>
      <c r="AS210" s="34"/>
      <c r="AT210" s="34"/>
      <c r="AV210" s="34"/>
      <c r="AX210" s="35"/>
      <c r="AY210" s="35"/>
      <c r="AZ210" s="35"/>
      <c r="BA210" s="22"/>
      <c r="BB210" s="22"/>
      <c r="BC210" s="23"/>
      <c r="BD210" s="22"/>
      <c r="BE210" s="22"/>
      <c r="BF210" s="22"/>
      <c r="BG210" s="22"/>
      <c r="BH210" s="22"/>
      <c r="BI210" s="22"/>
      <c r="BJ210" s="22"/>
      <c r="BK210" s="22"/>
      <c r="BL210" s="22"/>
      <c r="BM210" s="22"/>
    </row>
    <row r="211" spans="2:65">
      <c r="B211" s="20"/>
      <c r="D211" s="19"/>
      <c r="E211" s="22"/>
      <c r="F211" s="22"/>
      <c r="G211" s="22"/>
      <c r="H211" s="22"/>
      <c r="I211" s="23"/>
      <c r="J211" s="24"/>
      <c r="K211" s="23"/>
      <c r="L211" s="24"/>
      <c r="M211" s="23"/>
      <c r="N211" s="24"/>
      <c r="O211" s="23"/>
      <c r="P211" s="24"/>
      <c r="Q211" s="23"/>
      <c r="R211" s="23"/>
      <c r="S211" s="23"/>
      <c r="T211" s="23"/>
      <c r="U211" s="23"/>
      <c r="V211" s="23"/>
      <c r="W211" s="23"/>
      <c r="X211" s="23"/>
      <c r="AO211" s="34"/>
      <c r="AP211" s="22"/>
      <c r="AQ211" s="22"/>
      <c r="AR211" s="22"/>
      <c r="AS211" s="34"/>
      <c r="AT211" s="34"/>
      <c r="AV211" s="34"/>
      <c r="AX211" s="35"/>
      <c r="AY211" s="35"/>
      <c r="AZ211" s="35"/>
      <c r="BA211" s="22"/>
      <c r="BB211" s="22"/>
      <c r="BC211" s="23"/>
      <c r="BD211" s="22"/>
      <c r="BE211" s="22"/>
      <c r="BF211" s="22"/>
      <c r="BG211" s="22"/>
      <c r="BH211" s="22"/>
      <c r="BI211" s="22"/>
      <c r="BJ211" s="22"/>
      <c r="BK211" s="22"/>
      <c r="BL211" s="22"/>
      <c r="BM211" s="22"/>
    </row>
    <row r="212" spans="2:65">
      <c r="B212" s="20"/>
      <c r="D212" s="19"/>
      <c r="E212" s="22"/>
      <c r="F212" s="22"/>
      <c r="G212" s="22"/>
      <c r="H212" s="22"/>
      <c r="I212" s="23"/>
      <c r="J212" s="24"/>
      <c r="K212" s="23"/>
      <c r="L212" s="24"/>
      <c r="M212" s="23"/>
      <c r="N212" s="24"/>
      <c r="O212" s="23"/>
      <c r="P212" s="24"/>
      <c r="Q212" s="23"/>
      <c r="R212" s="23"/>
      <c r="S212" s="23"/>
      <c r="T212" s="23"/>
      <c r="U212" s="23"/>
      <c r="V212" s="23"/>
      <c r="W212" s="23"/>
      <c r="X212" s="23"/>
      <c r="AO212" s="34"/>
      <c r="AP212" s="22"/>
      <c r="AQ212" s="22"/>
      <c r="AR212" s="22"/>
      <c r="AS212" s="34"/>
      <c r="AT212" s="34"/>
      <c r="AV212" s="34"/>
      <c r="AX212" s="35"/>
      <c r="AY212" s="35"/>
      <c r="AZ212" s="35"/>
      <c r="BA212" s="22"/>
      <c r="BB212" s="22"/>
      <c r="BC212" s="23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</row>
    <row r="213" spans="2:65">
      <c r="B213" s="20"/>
      <c r="D213" s="19"/>
      <c r="E213" s="22"/>
      <c r="F213" s="22"/>
      <c r="G213" s="22"/>
      <c r="H213" s="22"/>
      <c r="I213" s="23"/>
      <c r="J213" s="24"/>
      <c r="K213" s="23"/>
      <c r="L213" s="24"/>
      <c r="M213" s="23"/>
      <c r="N213" s="24"/>
      <c r="O213" s="23"/>
      <c r="P213" s="24"/>
      <c r="Q213" s="23"/>
      <c r="R213" s="23"/>
      <c r="S213" s="23"/>
      <c r="T213" s="23"/>
      <c r="U213" s="23"/>
      <c r="V213" s="23"/>
      <c r="W213" s="23"/>
      <c r="X213" s="23"/>
      <c r="AO213" s="34"/>
      <c r="AP213" s="22"/>
      <c r="AQ213" s="22"/>
      <c r="AR213" s="22"/>
      <c r="AS213" s="34"/>
      <c r="AT213" s="34"/>
      <c r="AV213" s="34"/>
      <c r="AX213" s="35"/>
      <c r="AY213" s="35"/>
      <c r="AZ213" s="35"/>
      <c r="BA213" s="22"/>
      <c r="BB213" s="22"/>
      <c r="BC213" s="23"/>
      <c r="BD213" s="22"/>
      <c r="BE213" s="22"/>
      <c r="BF213" s="22"/>
      <c r="BG213" s="22"/>
      <c r="BH213" s="22"/>
      <c r="BI213" s="22"/>
      <c r="BJ213" s="22"/>
      <c r="BK213" s="22"/>
      <c r="BL213" s="22"/>
      <c r="BM213" s="22"/>
    </row>
    <row r="214" spans="2:65">
      <c r="B214" s="20"/>
      <c r="D214" s="19"/>
      <c r="E214" s="22"/>
      <c r="F214" s="22"/>
      <c r="G214" s="22"/>
      <c r="H214" s="22"/>
      <c r="I214" s="23"/>
      <c r="J214" s="24"/>
      <c r="K214" s="23"/>
      <c r="L214" s="24"/>
      <c r="M214" s="23"/>
      <c r="N214" s="24"/>
      <c r="O214" s="23"/>
      <c r="P214" s="24"/>
      <c r="Q214" s="23"/>
      <c r="R214" s="23"/>
      <c r="S214" s="23"/>
      <c r="T214" s="23"/>
      <c r="U214" s="23"/>
      <c r="V214" s="23"/>
      <c r="W214" s="23"/>
      <c r="X214" s="23"/>
      <c r="AO214" s="34"/>
      <c r="AP214" s="22"/>
      <c r="AQ214" s="22"/>
      <c r="AR214" s="22"/>
      <c r="AS214" s="34"/>
      <c r="AT214" s="34"/>
      <c r="AV214" s="34"/>
      <c r="AX214" s="35"/>
      <c r="AY214" s="35"/>
      <c r="AZ214" s="35"/>
      <c r="BA214" s="22"/>
      <c r="BB214" s="22"/>
      <c r="BC214" s="23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</row>
    <row r="215" spans="2:65">
      <c r="B215" s="20"/>
      <c r="D215" s="19"/>
      <c r="E215" s="22"/>
      <c r="F215" s="22"/>
      <c r="G215" s="22"/>
      <c r="H215" s="22"/>
      <c r="I215" s="23"/>
      <c r="J215" s="24"/>
      <c r="K215" s="23"/>
      <c r="L215" s="24"/>
      <c r="M215" s="23"/>
      <c r="N215" s="24"/>
      <c r="O215" s="23"/>
      <c r="P215" s="24"/>
      <c r="Q215" s="23"/>
      <c r="R215" s="23"/>
      <c r="S215" s="23"/>
      <c r="T215" s="23"/>
      <c r="U215" s="23"/>
      <c r="V215" s="23"/>
      <c r="W215" s="23"/>
      <c r="X215" s="23"/>
      <c r="AO215" s="34"/>
      <c r="AP215" s="22"/>
      <c r="AQ215" s="22"/>
      <c r="AR215" s="22"/>
      <c r="AS215" s="34"/>
      <c r="AT215" s="34"/>
      <c r="AV215" s="34"/>
      <c r="AX215" s="35"/>
      <c r="AY215" s="35"/>
      <c r="AZ215" s="35"/>
      <c r="BA215" s="22"/>
      <c r="BB215" s="22"/>
      <c r="BC215" s="23"/>
      <c r="BD215" s="22"/>
      <c r="BE215" s="22"/>
      <c r="BF215" s="22"/>
      <c r="BG215" s="22"/>
      <c r="BH215" s="22"/>
      <c r="BI215" s="22"/>
      <c r="BJ215" s="22"/>
      <c r="BK215" s="22"/>
      <c r="BL215" s="22"/>
      <c r="BM215" s="22"/>
    </row>
    <row r="216" spans="2:65">
      <c r="B216" s="20"/>
      <c r="D216" s="19"/>
      <c r="E216" s="22"/>
      <c r="F216" s="22"/>
      <c r="G216" s="22"/>
      <c r="H216" s="22"/>
      <c r="I216" s="23"/>
      <c r="J216" s="24"/>
      <c r="K216" s="23"/>
      <c r="L216" s="24"/>
      <c r="M216" s="23"/>
      <c r="N216" s="24"/>
      <c r="O216" s="23"/>
      <c r="P216" s="24"/>
      <c r="Q216" s="23"/>
      <c r="R216" s="23"/>
      <c r="S216" s="23"/>
      <c r="T216" s="23"/>
      <c r="U216" s="23"/>
      <c r="V216" s="23"/>
      <c r="W216" s="23"/>
      <c r="X216" s="23"/>
      <c r="AO216" s="34"/>
      <c r="AP216" s="22"/>
      <c r="AQ216" s="22"/>
      <c r="AR216" s="22"/>
      <c r="AS216" s="34"/>
      <c r="AT216" s="34"/>
      <c r="AV216" s="34"/>
      <c r="AX216" s="35"/>
      <c r="AY216" s="35"/>
      <c r="AZ216" s="35"/>
      <c r="BA216" s="22"/>
      <c r="BB216" s="22"/>
      <c r="BC216" s="23"/>
      <c r="BD216" s="22"/>
      <c r="BE216" s="22"/>
      <c r="BF216" s="22"/>
      <c r="BG216" s="22"/>
      <c r="BH216" s="22"/>
      <c r="BI216" s="22"/>
      <c r="BJ216" s="22"/>
      <c r="BK216" s="22"/>
      <c r="BL216" s="22"/>
      <c r="BM216" s="22"/>
    </row>
    <row r="217" spans="2:65">
      <c r="B217" s="20"/>
      <c r="D217" s="19"/>
      <c r="E217" s="22"/>
      <c r="F217" s="22"/>
      <c r="G217" s="22"/>
      <c r="H217" s="22"/>
      <c r="I217" s="23"/>
      <c r="J217" s="24"/>
      <c r="K217" s="23"/>
      <c r="L217" s="24"/>
      <c r="M217" s="23"/>
      <c r="N217" s="24"/>
      <c r="O217" s="23"/>
      <c r="P217" s="24"/>
      <c r="Q217" s="23"/>
      <c r="R217" s="23"/>
      <c r="S217" s="23"/>
      <c r="T217" s="23"/>
      <c r="U217" s="23"/>
      <c r="V217" s="23"/>
      <c r="W217" s="23"/>
      <c r="X217" s="23"/>
      <c r="AO217" s="34"/>
      <c r="AP217" s="22"/>
      <c r="AQ217" s="22"/>
      <c r="AR217" s="22"/>
      <c r="AS217" s="34"/>
      <c r="AT217" s="34"/>
      <c r="AV217" s="34"/>
      <c r="AX217" s="35"/>
      <c r="AY217" s="35"/>
      <c r="AZ217" s="35"/>
      <c r="BA217" s="22"/>
      <c r="BB217" s="22"/>
      <c r="BC217" s="23"/>
      <c r="BD217" s="22"/>
      <c r="BE217" s="22"/>
      <c r="BF217" s="22"/>
      <c r="BG217" s="22"/>
      <c r="BH217" s="22"/>
      <c r="BI217" s="22"/>
      <c r="BJ217" s="22"/>
      <c r="BK217" s="22"/>
      <c r="BL217" s="22"/>
      <c r="BM217" s="22"/>
    </row>
    <row r="218" spans="2:65">
      <c r="B218" s="20"/>
      <c r="D218" s="19"/>
      <c r="E218" s="22"/>
      <c r="F218" s="22"/>
      <c r="G218" s="22"/>
      <c r="H218" s="22"/>
      <c r="I218" s="23"/>
      <c r="J218" s="24"/>
      <c r="K218" s="23"/>
      <c r="L218" s="24"/>
      <c r="M218" s="23"/>
      <c r="N218" s="24"/>
      <c r="O218" s="23"/>
      <c r="P218" s="24"/>
      <c r="Q218" s="23"/>
      <c r="R218" s="23"/>
      <c r="S218" s="23"/>
      <c r="T218" s="23"/>
      <c r="U218" s="23"/>
      <c r="V218" s="23"/>
      <c r="W218" s="23"/>
      <c r="X218" s="23"/>
      <c r="AO218" s="34"/>
      <c r="AP218" s="22"/>
      <c r="AQ218" s="22"/>
      <c r="AR218" s="22"/>
      <c r="AS218" s="34"/>
      <c r="AT218" s="34"/>
      <c r="AV218" s="34"/>
      <c r="AX218" s="35"/>
      <c r="AY218" s="35"/>
      <c r="AZ218" s="35"/>
      <c r="BA218" s="22"/>
      <c r="BB218" s="22"/>
      <c r="BC218" s="23"/>
      <c r="BD218" s="22"/>
      <c r="BE218" s="22"/>
      <c r="BF218" s="22"/>
      <c r="BG218" s="22"/>
      <c r="BH218" s="22"/>
      <c r="BI218" s="22"/>
      <c r="BJ218" s="22"/>
      <c r="BK218" s="22"/>
      <c r="BL218" s="22"/>
      <c r="BM218" s="22"/>
    </row>
    <row r="219" spans="2:65">
      <c r="B219" s="20"/>
      <c r="D219" s="19"/>
      <c r="E219" s="22"/>
      <c r="F219" s="22"/>
      <c r="G219" s="22"/>
      <c r="H219" s="22"/>
      <c r="I219" s="23"/>
      <c r="J219" s="24"/>
      <c r="K219" s="23"/>
      <c r="L219" s="24"/>
      <c r="M219" s="23"/>
      <c r="N219" s="24"/>
      <c r="O219" s="23"/>
      <c r="P219" s="24"/>
      <c r="Q219" s="23"/>
      <c r="R219" s="23"/>
      <c r="S219" s="23"/>
      <c r="T219" s="23"/>
      <c r="U219" s="23"/>
      <c r="V219" s="23"/>
      <c r="W219" s="23"/>
      <c r="X219" s="23"/>
      <c r="AO219" s="34"/>
      <c r="AP219" s="22"/>
      <c r="AQ219" s="22"/>
      <c r="AR219" s="22"/>
      <c r="AS219" s="34"/>
      <c r="AT219" s="34"/>
      <c r="AV219" s="34"/>
      <c r="AX219" s="35"/>
      <c r="AY219" s="35"/>
      <c r="AZ219" s="35"/>
      <c r="BA219" s="22"/>
      <c r="BB219" s="22"/>
      <c r="BC219" s="23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</row>
    <row r="220" spans="2:65">
      <c r="B220" s="20"/>
      <c r="D220" s="19"/>
      <c r="E220" s="22"/>
      <c r="F220" s="22"/>
      <c r="G220" s="22"/>
      <c r="H220" s="22"/>
      <c r="I220" s="23"/>
      <c r="J220" s="24"/>
      <c r="K220" s="23"/>
      <c r="L220" s="24"/>
      <c r="M220" s="23"/>
      <c r="N220" s="24"/>
      <c r="O220" s="23"/>
      <c r="P220" s="24"/>
      <c r="Q220" s="23"/>
      <c r="R220" s="23"/>
      <c r="S220" s="23"/>
      <c r="T220" s="23"/>
      <c r="U220" s="23"/>
      <c r="V220" s="23"/>
      <c r="W220" s="23"/>
      <c r="X220" s="23"/>
      <c r="AO220" s="34"/>
      <c r="AP220" s="22"/>
      <c r="AQ220" s="22"/>
      <c r="AR220" s="22"/>
      <c r="AS220" s="34"/>
      <c r="AT220" s="34"/>
      <c r="AV220" s="34"/>
      <c r="AX220" s="35"/>
      <c r="AY220" s="35"/>
      <c r="AZ220" s="35"/>
      <c r="BA220" s="22"/>
      <c r="BB220" s="22"/>
      <c r="BC220" s="23"/>
      <c r="BD220" s="22"/>
      <c r="BE220" s="22"/>
      <c r="BF220" s="22"/>
      <c r="BG220" s="22"/>
      <c r="BH220" s="22"/>
      <c r="BI220" s="22"/>
      <c r="BJ220" s="22"/>
      <c r="BK220" s="22"/>
      <c r="BL220" s="22"/>
      <c r="BM220" s="22"/>
    </row>
    <row r="221" spans="2:65">
      <c r="B221" s="20"/>
      <c r="D221" s="19"/>
      <c r="E221" s="22"/>
      <c r="F221" s="22"/>
      <c r="G221" s="22"/>
      <c r="H221" s="22"/>
      <c r="I221" s="23"/>
      <c r="J221" s="24"/>
      <c r="K221" s="23"/>
      <c r="L221" s="24"/>
      <c r="M221" s="23"/>
      <c r="N221" s="24"/>
      <c r="O221" s="23"/>
      <c r="P221" s="24"/>
      <c r="Q221" s="23"/>
      <c r="R221" s="23"/>
      <c r="S221" s="23"/>
      <c r="T221" s="23"/>
      <c r="U221" s="23"/>
      <c r="V221" s="23"/>
      <c r="W221" s="23"/>
      <c r="X221" s="23"/>
      <c r="AO221" s="34"/>
      <c r="AP221" s="22"/>
      <c r="AQ221" s="22"/>
      <c r="AR221" s="22"/>
      <c r="AS221" s="34"/>
      <c r="AT221" s="34"/>
      <c r="AV221" s="34"/>
      <c r="AX221" s="35"/>
      <c r="AY221" s="35"/>
      <c r="AZ221" s="35"/>
      <c r="BA221" s="22"/>
      <c r="BB221" s="22"/>
      <c r="BC221" s="23"/>
      <c r="BD221" s="22"/>
      <c r="BE221" s="22"/>
      <c r="BF221" s="22"/>
      <c r="BG221" s="22"/>
      <c r="BH221" s="22"/>
      <c r="BI221" s="22"/>
      <c r="BJ221" s="22"/>
      <c r="BK221" s="22"/>
      <c r="BL221" s="22"/>
      <c r="BM221" s="22"/>
    </row>
    <row r="222" spans="2:65">
      <c r="B222" s="20"/>
      <c r="D222" s="19"/>
      <c r="E222" s="22"/>
      <c r="F222" s="22"/>
      <c r="G222" s="22"/>
      <c r="H222" s="22"/>
      <c r="I222" s="23"/>
      <c r="J222" s="24"/>
      <c r="K222" s="23"/>
      <c r="L222" s="24"/>
      <c r="M222" s="23"/>
      <c r="N222" s="24"/>
      <c r="O222" s="23"/>
      <c r="P222" s="24"/>
      <c r="Q222" s="23"/>
      <c r="R222" s="23"/>
      <c r="S222" s="23"/>
      <c r="T222" s="23"/>
      <c r="U222" s="23"/>
      <c r="V222" s="23"/>
      <c r="W222" s="23"/>
      <c r="X222" s="23"/>
      <c r="AO222" s="34"/>
      <c r="AP222" s="22"/>
      <c r="AQ222" s="22"/>
      <c r="AR222" s="22"/>
      <c r="AS222" s="34"/>
      <c r="AT222" s="34"/>
      <c r="AV222" s="34"/>
      <c r="AX222" s="35"/>
      <c r="AY222" s="35"/>
      <c r="AZ222" s="35"/>
      <c r="BA222" s="22"/>
      <c r="BB222" s="22"/>
      <c r="BC222" s="23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</row>
    <row r="223" spans="2:65">
      <c r="B223" s="20"/>
      <c r="D223" s="19"/>
      <c r="E223" s="22"/>
      <c r="F223" s="22"/>
      <c r="G223" s="22"/>
      <c r="H223" s="22"/>
      <c r="I223" s="23"/>
      <c r="J223" s="24"/>
      <c r="K223" s="23"/>
      <c r="L223" s="24"/>
      <c r="M223" s="23"/>
      <c r="N223" s="24"/>
      <c r="O223" s="23"/>
      <c r="P223" s="24"/>
      <c r="Q223" s="23"/>
      <c r="R223" s="23"/>
      <c r="S223" s="23"/>
      <c r="T223" s="23"/>
      <c r="U223" s="23"/>
      <c r="V223" s="23"/>
      <c r="W223" s="23"/>
      <c r="X223" s="23"/>
      <c r="AO223" s="34"/>
      <c r="AP223" s="22"/>
      <c r="AQ223" s="22"/>
      <c r="AR223" s="22"/>
      <c r="AS223" s="34"/>
      <c r="AT223" s="34"/>
      <c r="AV223" s="34"/>
      <c r="AX223" s="35"/>
      <c r="AY223" s="35"/>
      <c r="AZ223" s="35"/>
      <c r="BA223" s="22"/>
      <c r="BB223" s="22"/>
      <c r="BC223" s="23"/>
      <c r="BD223" s="22"/>
      <c r="BE223" s="22"/>
      <c r="BF223" s="22"/>
      <c r="BG223" s="22"/>
      <c r="BH223" s="22"/>
      <c r="BI223" s="22"/>
      <c r="BJ223" s="22"/>
      <c r="BK223" s="22"/>
      <c r="BL223" s="22"/>
      <c r="BM223" s="22"/>
    </row>
    <row r="224" spans="2:65">
      <c r="B224" s="20"/>
      <c r="D224" s="19"/>
      <c r="E224" s="22"/>
      <c r="F224" s="22"/>
      <c r="G224" s="22"/>
      <c r="H224" s="22"/>
      <c r="I224" s="23"/>
      <c r="J224" s="24"/>
      <c r="K224" s="23"/>
      <c r="L224" s="24"/>
      <c r="M224" s="23"/>
      <c r="N224" s="24"/>
      <c r="O224" s="23"/>
      <c r="P224" s="24"/>
      <c r="Q224" s="23"/>
      <c r="R224" s="23"/>
      <c r="S224" s="23"/>
      <c r="T224" s="23"/>
      <c r="U224" s="23"/>
      <c r="V224" s="23"/>
      <c r="W224" s="23"/>
      <c r="X224" s="23"/>
      <c r="AO224" s="34"/>
      <c r="AP224" s="22"/>
      <c r="AQ224" s="22"/>
      <c r="AR224" s="22"/>
      <c r="AS224" s="34"/>
      <c r="AT224" s="34"/>
      <c r="AV224" s="34"/>
      <c r="AX224" s="35"/>
      <c r="AY224" s="35"/>
      <c r="AZ224" s="35"/>
      <c r="BA224" s="22"/>
      <c r="BB224" s="22"/>
      <c r="BC224" s="23"/>
      <c r="BD224" s="22"/>
      <c r="BE224" s="22"/>
      <c r="BF224" s="22"/>
      <c r="BG224" s="22"/>
      <c r="BH224" s="22"/>
      <c r="BI224" s="22"/>
      <c r="BJ224" s="22"/>
      <c r="BK224" s="22"/>
      <c r="BL224" s="22"/>
      <c r="BM224" s="22"/>
    </row>
    <row r="225" spans="2:65">
      <c r="B225" s="20"/>
      <c r="D225" s="19"/>
      <c r="E225" s="22"/>
      <c r="F225" s="22"/>
      <c r="G225" s="22"/>
      <c r="H225" s="22"/>
      <c r="I225" s="23"/>
      <c r="J225" s="24"/>
      <c r="K225" s="23"/>
      <c r="L225" s="24"/>
      <c r="M225" s="23"/>
      <c r="N225" s="24"/>
      <c r="O225" s="23"/>
      <c r="P225" s="24"/>
      <c r="Q225" s="23"/>
      <c r="R225" s="23"/>
      <c r="S225" s="23"/>
      <c r="T225" s="23"/>
      <c r="U225" s="23"/>
      <c r="V225" s="23"/>
      <c r="W225" s="23"/>
      <c r="X225" s="23"/>
      <c r="AO225" s="34"/>
      <c r="AP225" s="22"/>
      <c r="AQ225" s="22"/>
      <c r="AR225" s="22"/>
      <c r="AS225" s="34"/>
      <c r="AT225" s="34"/>
      <c r="AV225" s="34"/>
      <c r="AX225" s="35"/>
      <c r="AY225" s="35"/>
      <c r="AZ225" s="35"/>
      <c r="BA225" s="22"/>
      <c r="BB225" s="22"/>
      <c r="BC225" s="23"/>
      <c r="BD225" s="22"/>
      <c r="BE225" s="22"/>
      <c r="BF225" s="22"/>
      <c r="BG225" s="22"/>
      <c r="BH225" s="22"/>
      <c r="BI225" s="22"/>
      <c r="BJ225" s="22"/>
      <c r="BK225" s="22"/>
      <c r="BL225" s="22"/>
      <c r="BM225" s="22"/>
    </row>
    <row r="226" spans="2:65">
      <c r="B226" s="20"/>
      <c r="D226" s="19"/>
      <c r="E226" s="22"/>
      <c r="F226" s="22"/>
      <c r="G226" s="22"/>
      <c r="H226" s="22"/>
      <c r="I226" s="23"/>
      <c r="J226" s="24"/>
      <c r="K226" s="23"/>
      <c r="L226" s="24"/>
      <c r="M226" s="23"/>
      <c r="N226" s="24"/>
      <c r="O226" s="23"/>
      <c r="P226" s="24"/>
      <c r="Q226" s="23"/>
      <c r="R226" s="23"/>
      <c r="S226" s="23"/>
      <c r="T226" s="23"/>
      <c r="U226" s="23"/>
      <c r="V226" s="23"/>
      <c r="W226" s="23"/>
      <c r="X226" s="23"/>
      <c r="AO226" s="34"/>
      <c r="AP226" s="22"/>
      <c r="AQ226" s="22"/>
      <c r="AR226" s="22"/>
      <c r="AS226" s="34"/>
      <c r="AT226" s="34"/>
      <c r="AV226" s="34"/>
      <c r="AX226" s="35"/>
      <c r="AY226" s="35"/>
      <c r="AZ226" s="35"/>
      <c r="BA226" s="22"/>
      <c r="BB226" s="22"/>
      <c r="BC226" s="23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</row>
    <row r="227" spans="2:65">
      <c r="B227" s="20"/>
      <c r="D227" s="19"/>
      <c r="E227" s="22"/>
      <c r="F227" s="22"/>
      <c r="G227" s="22"/>
      <c r="H227" s="22"/>
      <c r="I227" s="23"/>
      <c r="J227" s="24"/>
      <c r="K227" s="23"/>
      <c r="L227" s="24"/>
      <c r="M227" s="23"/>
      <c r="N227" s="24"/>
      <c r="O227" s="23"/>
      <c r="P227" s="24"/>
      <c r="Q227" s="23"/>
      <c r="R227" s="23"/>
      <c r="S227" s="23"/>
      <c r="T227" s="23"/>
      <c r="U227" s="23"/>
      <c r="V227" s="23"/>
      <c r="W227" s="23"/>
      <c r="X227" s="23"/>
      <c r="AO227" s="34"/>
      <c r="AP227" s="22"/>
      <c r="AQ227" s="22"/>
      <c r="AR227" s="22"/>
      <c r="AS227" s="34"/>
      <c r="AT227" s="34"/>
      <c r="AV227" s="34"/>
      <c r="AX227" s="35"/>
      <c r="AY227" s="35"/>
      <c r="AZ227" s="35"/>
      <c r="BA227" s="22"/>
      <c r="BB227" s="22"/>
      <c r="BC227" s="23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</row>
    <row r="228" spans="2:65">
      <c r="B228" s="20"/>
      <c r="D228" s="19"/>
      <c r="E228" s="22"/>
      <c r="F228" s="22"/>
      <c r="G228" s="22"/>
      <c r="H228" s="22"/>
      <c r="I228" s="23"/>
      <c r="J228" s="24"/>
      <c r="K228" s="23"/>
      <c r="L228" s="24"/>
      <c r="M228" s="23"/>
      <c r="N228" s="24"/>
      <c r="O228" s="23"/>
      <c r="P228" s="24"/>
      <c r="Q228" s="23"/>
      <c r="R228" s="23"/>
      <c r="S228" s="23"/>
      <c r="T228" s="23"/>
      <c r="U228" s="23"/>
      <c r="V228" s="23"/>
      <c r="W228" s="23"/>
      <c r="X228" s="23"/>
      <c r="AO228" s="34"/>
      <c r="AP228" s="22"/>
      <c r="AQ228" s="22"/>
      <c r="AR228" s="22"/>
      <c r="AS228" s="34"/>
      <c r="AT228" s="34"/>
      <c r="AV228" s="34"/>
      <c r="AX228" s="35"/>
      <c r="AY228" s="35"/>
      <c r="AZ228" s="35"/>
      <c r="BA228" s="22"/>
      <c r="BB228" s="22"/>
      <c r="BC228" s="23"/>
      <c r="BD228" s="22"/>
      <c r="BE228" s="22"/>
      <c r="BF228" s="22"/>
      <c r="BG228" s="22"/>
      <c r="BH228" s="22"/>
      <c r="BI228" s="22"/>
      <c r="BJ228" s="22"/>
      <c r="BK228" s="22"/>
      <c r="BL228" s="22"/>
      <c r="BM228" s="22"/>
    </row>
    <row r="229" spans="2:65">
      <c r="B229" s="20"/>
      <c r="D229" s="19"/>
      <c r="E229" s="22"/>
      <c r="F229" s="22"/>
      <c r="G229" s="22"/>
      <c r="H229" s="22"/>
      <c r="I229" s="23"/>
      <c r="J229" s="24"/>
      <c r="K229" s="23"/>
      <c r="L229" s="24"/>
      <c r="M229" s="23"/>
      <c r="N229" s="24"/>
      <c r="O229" s="23"/>
      <c r="P229" s="24"/>
      <c r="Q229" s="23"/>
      <c r="R229" s="23"/>
      <c r="S229" s="23"/>
      <c r="T229" s="23"/>
      <c r="U229" s="23"/>
      <c r="V229" s="23"/>
      <c r="W229" s="23"/>
      <c r="X229" s="23"/>
      <c r="AO229" s="34"/>
      <c r="AP229" s="22"/>
      <c r="AQ229" s="22"/>
      <c r="AR229" s="22"/>
      <c r="AS229" s="34"/>
      <c r="AT229" s="34"/>
      <c r="AV229" s="34"/>
      <c r="AX229" s="35"/>
      <c r="AY229" s="35"/>
      <c r="AZ229" s="35"/>
      <c r="BA229" s="22"/>
      <c r="BB229" s="22"/>
      <c r="BC229" s="23"/>
      <c r="BD229" s="22"/>
      <c r="BE229" s="22"/>
      <c r="BF229" s="22"/>
      <c r="BG229" s="22"/>
      <c r="BH229" s="22"/>
      <c r="BI229" s="22"/>
      <c r="BJ229" s="22"/>
      <c r="BK229" s="22"/>
      <c r="BL229" s="22"/>
      <c r="BM229" s="22"/>
    </row>
    <row r="230" spans="2:65">
      <c r="B230" s="20"/>
      <c r="D230" s="19"/>
      <c r="E230" s="22"/>
      <c r="F230" s="22"/>
      <c r="G230" s="22"/>
      <c r="H230" s="22"/>
      <c r="I230" s="23"/>
      <c r="J230" s="24"/>
      <c r="K230" s="23"/>
      <c r="L230" s="24"/>
      <c r="M230" s="23"/>
      <c r="N230" s="24"/>
      <c r="O230" s="23"/>
      <c r="P230" s="24"/>
      <c r="Q230" s="23"/>
      <c r="R230" s="23"/>
      <c r="S230" s="23"/>
      <c r="T230" s="23"/>
      <c r="U230" s="23"/>
      <c r="V230" s="23"/>
      <c r="W230" s="23"/>
      <c r="X230" s="23"/>
      <c r="AO230" s="34"/>
      <c r="AP230" s="22"/>
      <c r="AQ230" s="22"/>
      <c r="AR230" s="22"/>
      <c r="AS230" s="34"/>
      <c r="AT230" s="34"/>
      <c r="AV230" s="34"/>
      <c r="AX230" s="35"/>
      <c r="AY230" s="35"/>
      <c r="AZ230" s="35"/>
      <c r="BA230" s="22"/>
      <c r="BB230" s="22"/>
      <c r="BC230" s="23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</row>
    <row r="231" spans="2:65">
      <c r="B231" s="20"/>
      <c r="D231" s="19"/>
      <c r="E231" s="22"/>
      <c r="F231" s="22"/>
      <c r="G231" s="22"/>
      <c r="H231" s="22"/>
      <c r="I231" s="23"/>
      <c r="J231" s="24"/>
      <c r="K231" s="23"/>
      <c r="L231" s="24"/>
      <c r="M231" s="23"/>
      <c r="N231" s="24"/>
      <c r="O231" s="23"/>
      <c r="P231" s="24"/>
      <c r="Q231" s="23"/>
      <c r="R231" s="23"/>
      <c r="S231" s="23"/>
      <c r="T231" s="23"/>
      <c r="U231" s="23"/>
      <c r="V231" s="23"/>
      <c r="W231" s="23"/>
      <c r="X231" s="23"/>
      <c r="AO231" s="34"/>
      <c r="AP231" s="22"/>
      <c r="AQ231" s="22"/>
      <c r="AR231" s="22"/>
      <c r="AS231" s="34"/>
      <c r="AT231" s="34"/>
      <c r="AV231" s="34"/>
      <c r="AX231" s="35"/>
      <c r="AY231" s="35"/>
      <c r="AZ231" s="35"/>
      <c r="BA231" s="22"/>
      <c r="BB231" s="22"/>
      <c r="BC231" s="23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</row>
    <row r="232" spans="2:65">
      <c r="B232" s="20"/>
      <c r="D232" s="19"/>
      <c r="E232" s="22"/>
      <c r="F232" s="22"/>
      <c r="G232" s="22"/>
      <c r="H232" s="22"/>
      <c r="I232" s="23"/>
      <c r="J232" s="24"/>
      <c r="K232" s="23"/>
      <c r="L232" s="24"/>
      <c r="M232" s="23"/>
      <c r="N232" s="24"/>
      <c r="O232" s="23"/>
      <c r="P232" s="24"/>
      <c r="Q232" s="23"/>
      <c r="R232" s="23"/>
      <c r="S232" s="23"/>
      <c r="T232" s="23"/>
      <c r="U232" s="23"/>
      <c r="V232" s="23"/>
      <c r="W232" s="23"/>
      <c r="X232" s="23"/>
      <c r="AO232" s="34"/>
      <c r="AP232" s="22"/>
      <c r="AQ232" s="22"/>
      <c r="AR232" s="22"/>
      <c r="AS232" s="34"/>
      <c r="AT232" s="34"/>
      <c r="AV232" s="34"/>
      <c r="AX232" s="35"/>
      <c r="AY232" s="35"/>
      <c r="AZ232" s="35"/>
      <c r="BA232" s="22"/>
      <c r="BB232" s="22"/>
      <c r="BC232" s="23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</row>
    <row r="233" spans="2:65">
      <c r="B233" s="20"/>
      <c r="D233" s="19"/>
      <c r="E233" s="22"/>
      <c r="F233" s="22"/>
      <c r="G233" s="22"/>
      <c r="H233" s="22"/>
      <c r="I233" s="23"/>
      <c r="J233" s="24"/>
      <c r="K233" s="23"/>
      <c r="L233" s="24"/>
      <c r="M233" s="23"/>
      <c r="N233" s="24"/>
      <c r="O233" s="23"/>
      <c r="P233" s="24"/>
      <c r="Q233" s="23"/>
      <c r="R233" s="23"/>
      <c r="S233" s="23"/>
      <c r="T233" s="23"/>
      <c r="U233" s="23"/>
      <c r="V233" s="23"/>
      <c r="W233" s="23"/>
      <c r="X233" s="23"/>
      <c r="AO233" s="34"/>
      <c r="AP233" s="22"/>
      <c r="AQ233" s="22"/>
      <c r="AR233" s="22"/>
      <c r="AS233" s="34"/>
      <c r="AT233" s="34"/>
      <c r="AV233" s="34"/>
      <c r="AX233" s="35"/>
      <c r="AY233" s="35"/>
      <c r="AZ233" s="35"/>
      <c r="BA233" s="22"/>
      <c r="BB233" s="22"/>
      <c r="BC233" s="23"/>
      <c r="BD233" s="22"/>
      <c r="BE233" s="22"/>
      <c r="BF233" s="22"/>
      <c r="BG233" s="22"/>
      <c r="BH233" s="22"/>
      <c r="BI233" s="22"/>
      <c r="BJ233" s="22"/>
      <c r="BK233" s="22"/>
      <c r="BL233" s="22"/>
      <c r="BM233" s="22"/>
    </row>
    <row r="234" spans="2:65">
      <c r="B234" s="20"/>
      <c r="D234" s="19"/>
      <c r="E234" s="22"/>
      <c r="F234" s="22"/>
      <c r="G234" s="22"/>
      <c r="H234" s="22"/>
      <c r="I234" s="23"/>
      <c r="J234" s="24"/>
      <c r="K234" s="23"/>
      <c r="L234" s="24"/>
      <c r="M234" s="23"/>
      <c r="N234" s="24"/>
      <c r="O234" s="23"/>
      <c r="P234" s="24"/>
      <c r="Q234" s="23"/>
      <c r="R234" s="23"/>
      <c r="S234" s="23"/>
      <c r="T234" s="23"/>
      <c r="U234" s="23"/>
      <c r="V234" s="23"/>
      <c r="W234" s="23"/>
      <c r="X234" s="23"/>
      <c r="AO234" s="34"/>
      <c r="AP234" s="22"/>
      <c r="AQ234" s="22"/>
      <c r="AR234" s="22"/>
      <c r="AS234" s="34"/>
      <c r="AT234" s="34"/>
      <c r="AV234" s="34"/>
      <c r="AX234" s="35"/>
      <c r="AY234" s="35"/>
      <c r="AZ234" s="35"/>
      <c r="BA234" s="22"/>
      <c r="BB234" s="22"/>
      <c r="BC234" s="23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</row>
    <row r="235" spans="2:65">
      <c r="B235" s="20"/>
      <c r="D235" s="19"/>
      <c r="E235" s="22"/>
      <c r="F235" s="22"/>
      <c r="G235" s="22"/>
      <c r="H235" s="22"/>
      <c r="I235" s="23"/>
      <c r="J235" s="24"/>
      <c r="K235" s="23"/>
      <c r="L235" s="24"/>
      <c r="M235" s="23"/>
      <c r="N235" s="24"/>
      <c r="O235" s="23"/>
      <c r="P235" s="24"/>
      <c r="Q235" s="23"/>
      <c r="R235" s="23"/>
      <c r="S235" s="23"/>
      <c r="T235" s="23"/>
      <c r="U235" s="23"/>
      <c r="V235" s="23"/>
      <c r="W235" s="23"/>
      <c r="X235" s="23"/>
      <c r="AO235" s="34"/>
      <c r="AP235" s="22"/>
      <c r="AQ235" s="22"/>
      <c r="AR235" s="22"/>
      <c r="AS235" s="34"/>
      <c r="AT235" s="34"/>
      <c r="AV235" s="34"/>
      <c r="AX235" s="35"/>
      <c r="AY235" s="35"/>
      <c r="AZ235" s="35"/>
      <c r="BA235" s="22"/>
      <c r="BB235" s="22"/>
      <c r="BC235" s="23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</row>
    <row r="236" spans="2:65">
      <c r="B236" s="20"/>
      <c r="D236" s="19"/>
      <c r="E236" s="22"/>
      <c r="F236" s="22"/>
      <c r="G236" s="22"/>
      <c r="H236" s="22"/>
      <c r="I236" s="23"/>
      <c r="J236" s="24"/>
      <c r="K236" s="23"/>
      <c r="L236" s="24"/>
      <c r="M236" s="23"/>
      <c r="N236" s="24"/>
      <c r="O236" s="23"/>
      <c r="P236" s="24"/>
      <c r="Q236" s="23"/>
      <c r="R236" s="23"/>
      <c r="S236" s="23"/>
      <c r="T236" s="23"/>
      <c r="U236" s="23"/>
      <c r="V236" s="23"/>
      <c r="W236" s="23"/>
      <c r="X236" s="23"/>
      <c r="AO236" s="34"/>
      <c r="AP236" s="22"/>
      <c r="AQ236" s="22"/>
      <c r="AR236" s="22"/>
      <c r="AS236" s="34"/>
      <c r="AT236" s="34"/>
      <c r="AV236" s="34"/>
      <c r="AX236" s="35"/>
      <c r="AY236" s="35"/>
      <c r="AZ236" s="35"/>
      <c r="BA236" s="22"/>
      <c r="BB236" s="22"/>
      <c r="BC236" s="23"/>
      <c r="BD236" s="22"/>
      <c r="BE236" s="22"/>
      <c r="BF236" s="22"/>
      <c r="BG236" s="22"/>
      <c r="BH236" s="22"/>
      <c r="BI236" s="22"/>
      <c r="BJ236" s="22"/>
      <c r="BK236" s="22"/>
      <c r="BL236" s="22"/>
      <c r="BM236" s="22"/>
    </row>
    <row r="237" spans="2:65">
      <c r="B237" s="20"/>
      <c r="D237" s="19"/>
      <c r="E237" s="22"/>
      <c r="F237" s="22"/>
      <c r="G237" s="22"/>
      <c r="H237" s="22"/>
      <c r="I237" s="23"/>
      <c r="J237" s="24"/>
      <c r="K237" s="23"/>
      <c r="L237" s="24"/>
      <c r="M237" s="23"/>
      <c r="N237" s="24"/>
      <c r="O237" s="23"/>
      <c r="P237" s="24"/>
      <c r="Q237" s="23"/>
      <c r="R237" s="23"/>
      <c r="S237" s="23"/>
      <c r="T237" s="23"/>
      <c r="U237" s="23"/>
      <c r="V237" s="23"/>
      <c r="W237" s="23"/>
      <c r="X237" s="23"/>
      <c r="AO237" s="34"/>
      <c r="AP237" s="22"/>
      <c r="AQ237" s="22"/>
      <c r="AR237" s="22"/>
      <c r="AS237" s="34"/>
      <c r="AT237" s="34"/>
      <c r="AV237" s="34"/>
      <c r="AX237" s="35"/>
      <c r="AY237" s="35"/>
      <c r="AZ237" s="35"/>
      <c r="BA237" s="22"/>
      <c r="BB237" s="22"/>
      <c r="BC237" s="23"/>
      <c r="BD237" s="22"/>
      <c r="BE237" s="22"/>
      <c r="BF237" s="22"/>
      <c r="BG237" s="22"/>
      <c r="BH237" s="22"/>
      <c r="BI237" s="22"/>
      <c r="BJ237" s="22"/>
      <c r="BK237" s="22"/>
      <c r="BL237" s="22"/>
      <c r="BM237" s="22"/>
    </row>
    <row r="238" spans="2:65">
      <c r="B238" s="20"/>
      <c r="D238" s="19"/>
      <c r="E238" s="22"/>
      <c r="F238" s="22"/>
      <c r="G238" s="22"/>
      <c r="H238" s="22"/>
      <c r="I238" s="23"/>
      <c r="J238" s="24"/>
      <c r="K238" s="23"/>
      <c r="L238" s="24"/>
      <c r="M238" s="23"/>
      <c r="N238" s="24"/>
      <c r="O238" s="23"/>
      <c r="P238" s="24"/>
      <c r="Q238" s="23"/>
      <c r="R238" s="23"/>
      <c r="S238" s="23"/>
      <c r="T238" s="23"/>
      <c r="U238" s="23"/>
      <c r="V238" s="23"/>
      <c r="W238" s="23"/>
      <c r="X238" s="23"/>
      <c r="AO238" s="34"/>
      <c r="AP238" s="22"/>
      <c r="AQ238" s="22"/>
      <c r="AR238" s="22"/>
      <c r="AS238" s="34"/>
      <c r="AT238" s="34"/>
      <c r="AV238" s="34"/>
      <c r="AX238" s="35"/>
      <c r="AY238" s="35"/>
      <c r="AZ238" s="35"/>
      <c r="BA238" s="22"/>
      <c r="BB238" s="22"/>
      <c r="BC238" s="23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</row>
    <row r="239" spans="2:65">
      <c r="B239" s="20"/>
      <c r="D239" s="19"/>
      <c r="E239" s="22"/>
      <c r="F239" s="22"/>
      <c r="G239" s="22"/>
      <c r="H239" s="22"/>
      <c r="I239" s="23"/>
      <c r="J239" s="24"/>
      <c r="K239" s="23"/>
      <c r="L239" s="24"/>
      <c r="M239" s="23"/>
      <c r="N239" s="24"/>
      <c r="O239" s="23"/>
      <c r="P239" s="24"/>
      <c r="Q239" s="23"/>
      <c r="R239" s="23"/>
      <c r="S239" s="23"/>
      <c r="T239" s="23"/>
      <c r="U239" s="23"/>
      <c r="V239" s="23"/>
      <c r="W239" s="23"/>
      <c r="X239" s="23"/>
      <c r="AO239" s="34"/>
      <c r="AP239" s="22"/>
      <c r="AQ239" s="22"/>
      <c r="AR239" s="22"/>
      <c r="AS239" s="34"/>
      <c r="AT239" s="34"/>
      <c r="AV239" s="34"/>
      <c r="AX239" s="35"/>
      <c r="AY239" s="35"/>
      <c r="AZ239" s="35"/>
      <c r="BA239" s="22"/>
      <c r="BB239" s="22"/>
      <c r="BC239" s="23"/>
      <c r="BD239" s="22"/>
      <c r="BE239" s="22"/>
      <c r="BF239" s="22"/>
      <c r="BG239" s="22"/>
      <c r="BH239" s="22"/>
      <c r="BI239" s="22"/>
      <c r="BJ239" s="22"/>
      <c r="BK239" s="22"/>
      <c r="BL239" s="22"/>
      <c r="BM239" s="22"/>
    </row>
    <row r="240" spans="2:65">
      <c r="B240" s="20"/>
      <c r="D240" s="19"/>
      <c r="E240" s="22"/>
      <c r="F240" s="22"/>
      <c r="G240" s="22"/>
      <c r="H240" s="22"/>
      <c r="I240" s="23"/>
      <c r="J240" s="24"/>
      <c r="K240" s="23"/>
      <c r="L240" s="24"/>
      <c r="M240" s="23"/>
      <c r="N240" s="24"/>
      <c r="O240" s="23"/>
      <c r="P240" s="24"/>
      <c r="Q240" s="23"/>
      <c r="R240" s="23"/>
      <c r="S240" s="23"/>
      <c r="T240" s="23"/>
      <c r="U240" s="23"/>
      <c r="V240" s="23"/>
      <c r="W240" s="23"/>
      <c r="X240" s="23"/>
      <c r="AO240" s="34"/>
      <c r="AP240" s="22"/>
      <c r="AQ240" s="22"/>
      <c r="AR240" s="22"/>
      <c r="AS240" s="34"/>
      <c r="AT240" s="34"/>
      <c r="AV240" s="34"/>
      <c r="AX240" s="35"/>
      <c r="AY240" s="35"/>
      <c r="AZ240" s="35"/>
      <c r="BA240" s="22"/>
      <c r="BB240" s="22"/>
      <c r="BC240" s="23"/>
      <c r="BD240" s="22"/>
      <c r="BE240" s="22"/>
      <c r="BF240" s="22"/>
      <c r="BG240" s="22"/>
      <c r="BH240" s="22"/>
      <c r="BI240" s="22"/>
      <c r="BJ240" s="22"/>
      <c r="BK240" s="22"/>
      <c r="BL240" s="22"/>
      <c r="BM240" s="22"/>
    </row>
    <row r="241" spans="2:65">
      <c r="B241" s="20"/>
      <c r="D241" s="19"/>
      <c r="E241" s="22"/>
      <c r="F241" s="22"/>
      <c r="G241" s="22"/>
      <c r="H241" s="22"/>
      <c r="I241" s="23"/>
      <c r="J241" s="24"/>
      <c r="K241" s="23"/>
      <c r="L241" s="24"/>
      <c r="M241" s="23"/>
      <c r="N241" s="24"/>
      <c r="O241" s="23"/>
      <c r="P241" s="24"/>
      <c r="Q241" s="23"/>
      <c r="R241" s="23"/>
      <c r="S241" s="23"/>
      <c r="T241" s="23"/>
      <c r="U241" s="23"/>
      <c r="V241" s="23"/>
      <c r="W241" s="23"/>
      <c r="X241" s="23"/>
      <c r="AO241" s="34"/>
      <c r="AP241" s="22"/>
      <c r="AQ241" s="22"/>
      <c r="AR241" s="22"/>
      <c r="AS241" s="34"/>
      <c r="AT241" s="34"/>
      <c r="AV241" s="34"/>
      <c r="AX241" s="35"/>
      <c r="AY241" s="35"/>
      <c r="AZ241" s="35"/>
      <c r="BA241" s="22"/>
      <c r="BB241" s="22"/>
      <c r="BC241" s="23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</row>
    <row r="242" spans="2:65">
      <c r="B242" s="20"/>
      <c r="D242" s="19"/>
      <c r="E242" s="22"/>
      <c r="F242" s="22"/>
      <c r="G242" s="22"/>
      <c r="H242" s="22"/>
      <c r="I242" s="23"/>
      <c r="J242" s="24"/>
      <c r="K242" s="23"/>
      <c r="L242" s="24"/>
      <c r="M242" s="23"/>
      <c r="N242" s="24"/>
      <c r="O242" s="23"/>
      <c r="P242" s="24"/>
      <c r="Q242" s="23"/>
      <c r="R242" s="23"/>
      <c r="S242" s="23"/>
      <c r="T242" s="23"/>
      <c r="U242" s="23"/>
      <c r="V242" s="23"/>
      <c r="W242" s="23"/>
      <c r="X242" s="23"/>
      <c r="AO242" s="34"/>
      <c r="AP242" s="22"/>
      <c r="AQ242" s="22"/>
      <c r="AR242" s="22"/>
      <c r="AS242" s="34"/>
      <c r="AT242" s="34"/>
      <c r="AV242" s="34"/>
      <c r="AX242" s="35"/>
      <c r="AY242" s="35"/>
      <c r="AZ242" s="35"/>
      <c r="BA242" s="22"/>
      <c r="BB242" s="22"/>
      <c r="BC242" s="23"/>
      <c r="BD242" s="22"/>
      <c r="BE242" s="22"/>
      <c r="BF242" s="22"/>
      <c r="BG242" s="22"/>
      <c r="BH242" s="22"/>
      <c r="BI242" s="22"/>
      <c r="BJ242" s="22"/>
      <c r="BK242" s="22"/>
      <c r="BL242" s="22"/>
      <c r="BM242" s="22"/>
    </row>
    <row r="243" spans="2:65">
      <c r="B243" s="20"/>
      <c r="D243" s="19"/>
      <c r="E243" s="22"/>
      <c r="F243" s="22"/>
      <c r="G243" s="22"/>
      <c r="H243" s="22"/>
      <c r="I243" s="23"/>
      <c r="J243" s="24"/>
      <c r="K243" s="23"/>
      <c r="L243" s="24"/>
      <c r="M243" s="23"/>
      <c r="N243" s="24"/>
      <c r="O243" s="23"/>
      <c r="P243" s="24"/>
      <c r="Q243" s="23"/>
      <c r="R243" s="23"/>
      <c r="S243" s="23"/>
      <c r="T243" s="23"/>
      <c r="U243" s="23"/>
      <c r="V243" s="23"/>
      <c r="W243" s="23"/>
      <c r="X243" s="23"/>
      <c r="AO243" s="34"/>
      <c r="AP243" s="22"/>
      <c r="AQ243" s="22"/>
      <c r="AR243" s="22"/>
      <c r="AS243" s="34"/>
      <c r="AT243" s="34"/>
      <c r="AV243" s="34"/>
      <c r="AX243" s="35"/>
      <c r="AY243" s="35"/>
      <c r="AZ243" s="35"/>
      <c r="BA243" s="22"/>
      <c r="BB243" s="22"/>
      <c r="BC243" s="23"/>
      <c r="BD243" s="22"/>
      <c r="BE243" s="22"/>
      <c r="BF243" s="22"/>
      <c r="BG243" s="22"/>
      <c r="BH243" s="22"/>
      <c r="BI243" s="22"/>
      <c r="BJ243" s="22"/>
      <c r="BK243" s="22"/>
      <c r="BL243" s="22"/>
      <c r="BM243" s="22"/>
    </row>
    <row r="244" spans="2:65">
      <c r="B244" s="20"/>
      <c r="D244" s="19"/>
      <c r="E244" s="22"/>
      <c r="F244" s="22"/>
      <c r="G244" s="22"/>
      <c r="H244" s="22"/>
      <c r="I244" s="23"/>
      <c r="J244" s="24"/>
      <c r="K244" s="23"/>
      <c r="L244" s="24"/>
      <c r="M244" s="23"/>
      <c r="N244" s="24"/>
      <c r="O244" s="23"/>
      <c r="P244" s="24"/>
      <c r="Q244" s="23"/>
      <c r="R244" s="23"/>
      <c r="S244" s="23"/>
      <c r="T244" s="23"/>
      <c r="U244" s="23"/>
      <c r="V244" s="23"/>
      <c r="W244" s="23"/>
      <c r="X244" s="23"/>
      <c r="AO244" s="34"/>
      <c r="AP244" s="22"/>
      <c r="AQ244" s="22"/>
      <c r="AR244" s="22"/>
      <c r="AS244" s="34"/>
      <c r="AT244" s="34"/>
      <c r="AV244" s="34"/>
      <c r="AX244" s="35"/>
      <c r="AY244" s="35"/>
      <c r="AZ244" s="35"/>
      <c r="BA244" s="22"/>
      <c r="BB244" s="22"/>
      <c r="BC244" s="23"/>
      <c r="BD244" s="22"/>
      <c r="BE244" s="22"/>
      <c r="BF244" s="22"/>
      <c r="BG244" s="22"/>
      <c r="BH244" s="22"/>
      <c r="BI244" s="22"/>
      <c r="BJ244" s="22"/>
      <c r="BK244" s="22"/>
      <c r="BL244" s="22"/>
      <c r="BM244" s="22"/>
    </row>
    <row r="245" spans="2:65">
      <c r="B245" s="20"/>
      <c r="D245" s="19"/>
      <c r="E245" s="22"/>
      <c r="F245" s="22"/>
      <c r="G245" s="22"/>
      <c r="H245" s="22"/>
      <c r="I245" s="23"/>
      <c r="J245" s="24"/>
      <c r="K245" s="23"/>
      <c r="L245" s="24"/>
      <c r="M245" s="23"/>
      <c r="N245" s="24"/>
      <c r="O245" s="23"/>
      <c r="P245" s="24"/>
      <c r="Q245" s="23"/>
      <c r="R245" s="23"/>
      <c r="S245" s="23"/>
      <c r="T245" s="23"/>
      <c r="U245" s="23"/>
      <c r="V245" s="23"/>
      <c r="W245" s="23"/>
      <c r="X245" s="23"/>
      <c r="AO245" s="34"/>
      <c r="AP245" s="22"/>
      <c r="AQ245" s="22"/>
      <c r="AR245" s="22"/>
      <c r="AS245" s="34"/>
      <c r="AT245" s="34"/>
      <c r="AV245" s="34"/>
      <c r="AX245" s="35"/>
      <c r="AY245" s="35"/>
      <c r="AZ245" s="35"/>
      <c r="BA245" s="22"/>
      <c r="BB245" s="22"/>
      <c r="BC245" s="23"/>
      <c r="BD245" s="22"/>
      <c r="BE245" s="22"/>
      <c r="BF245" s="22"/>
      <c r="BG245" s="22"/>
      <c r="BH245" s="22"/>
      <c r="BI245" s="22"/>
      <c r="BJ245" s="22"/>
      <c r="BK245" s="22"/>
      <c r="BL245" s="22"/>
      <c r="BM245" s="22"/>
    </row>
    <row r="246" spans="2:65">
      <c r="B246" s="20"/>
      <c r="D246" s="19"/>
      <c r="E246" s="22"/>
      <c r="F246" s="22"/>
      <c r="G246" s="22"/>
      <c r="H246" s="22"/>
      <c r="I246" s="23"/>
      <c r="J246" s="24"/>
      <c r="K246" s="23"/>
      <c r="L246" s="24"/>
      <c r="M246" s="23"/>
      <c r="N246" s="24"/>
      <c r="O246" s="23"/>
      <c r="P246" s="24"/>
      <c r="Q246" s="23"/>
      <c r="R246" s="23"/>
      <c r="S246" s="23"/>
      <c r="T246" s="23"/>
      <c r="U246" s="23"/>
      <c r="V246" s="23"/>
      <c r="W246" s="23"/>
      <c r="X246" s="23"/>
      <c r="AO246" s="34"/>
      <c r="AP246" s="22"/>
      <c r="AQ246" s="22"/>
      <c r="AR246" s="22"/>
      <c r="AS246" s="34"/>
      <c r="AT246" s="34"/>
      <c r="AV246" s="34"/>
      <c r="AX246" s="35"/>
      <c r="AY246" s="35"/>
      <c r="AZ246" s="35"/>
      <c r="BA246" s="22"/>
      <c r="BB246" s="22"/>
      <c r="BC246" s="23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</row>
    <row r="247" spans="2:65">
      <c r="B247" s="20"/>
      <c r="D247" s="19"/>
      <c r="E247" s="22"/>
      <c r="F247" s="22"/>
      <c r="G247" s="22"/>
      <c r="H247" s="22"/>
      <c r="I247" s="23"/>
      <c r="J247" s="24"/>
      <c r="K247" s="23"/>
      <c r="L247" s="24"/>
      <c r="M247" s="23"/>
      <c r="N247" s="24"/>
      <c r="O247" s="23"/>
      <c r="P247" s="24"/>
      <c r="Q247" s="23"/>
      <c r="R247" s="23"/>
      <c r="S247" s="23"/>
      <c r="T247" s="23"/>
      <c r="U247" s="23"/>
      <c r="V247" s="23"/>
      <c r="W247" s="23"/>
      <c r="X247" s="23"/>
      <c r="AO247" s="34"/>
      <c r="AP247" s="22"/>
      <c r="AQ247" s="22"/>
      <c r="AR247" s="22"/>
      <c r="AS247" s="34"/>
      <c r="AT247" s="34"/>
      <c r="AV247" s="34"/>
      <c r="AX247" s="35"/>
      <c r="AY247" s="35"/>
      <c r="AZ247" s="35"/>
      <c r="BA247" s="22"/>
      <c r="BB247" s="22"/>
      <c r="BC247" s="23"/>
      <c r="BD247" s="22"/>
      <c r="BE247" s="22"/>
      <c r="BF247" s="22"/>
      <c r="BG247" s="22"/>
      <c r="BH247" s="22"/>
      <c r="BI247" s="22"/>
      <c r="BJ247" s="22"/>
      <c r="BK247" s="22"/>
      <c r="BL247" s="22"/>
      <c r="BM247" s="22"/>
    </row>
    <row r="248" spans="2:65">
      <c r="B248" s="20"/>
      <c r="D248" s="19"/>
      <c r="E248" s="22"/>
      <c r="F248" s="22"/>
      <c r="G248" s="22"/>
      <c r="H248" s="22"/>
      <c r="I248" s="23"/>
      <c r="J248" s="24"/>
      <c r="K248" s="23"/>
      <c r="L248" s="24"/>
      <c r="M248" s="23"/>
      <c r="N248" s="24"/>
      <c r="O248" s="23"/>
      <c r="P248" s="24"/>
      <c r="Q248" s="23"/>
      <c r="R248" s="23"/>
      <c r="S248" s="23"/>
      <c r="T248" s="23"/>
      <c r="U248" s="23"/>
      <c r="V248" s="23"/>
      <c r="W248" s="23"/>
      <c r="X248" s="23"/>
      <c r="AO248" s="34"/>
      <c r="AP248" s="22"/>
      <c r="AQ248" s="22"/>
      <c r="AR248" s="22"/>
      <c r="AS248" s="34"/>
      <c r="AT248" s="34"/>
      <c r="AV248" s="34"/>
      <c r="AX248" s="35"/>
      <c r="AY248" s="35"/>
      <c r="AZ248" s="35"/>
      <c r="BA248" s="22"/>
      <c r="BB248" s="22"/>
      <c r="BC248" s="23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</row>
    <row r="249" spans="2:65">
      <c r="B249" s="20"/>
      <c r="D249" s="19"/>
      <c r="E249" s="22"/>
      <c r="F249" s="22"/>
      <c r="G249" s="22"/>
      <c r="H249" s="22"/>
      <c r="I249" s="23"/>
      <c r="J249" s="24"/>
      <c r="K249" s="23"/>
      <c r="L249" s="24"/>
      <c r="M249" s="23"/>
      <c r="N249" s="24"/>
      <c r="O249" s="23"/>
      <c r="P249" s="24"/>
      <c r="Q249" s="23"/>
      <c r="R249" s="23"/>
      <c r="S249" s="23"/>
      <c r="T249" s="23"/>
      <c r="U249" s="23"/>
      <c r="V249" s="23"/>
      <c r="W249" s="23"/>
      <c r="X249" s="23"/>
      <c r="AO249" s="34"/>
      <c r="AP249" s="22"/>
      <c r="AQ249" s="22"/>
      <c r="AR249" s="22"/>
      <c r="AS249" s="34"/>
      <c r="AT249" s="34"/>
      <c r="AV249" s="34"/>
      <c r="AX249" s="35"/>
      <c r="AY249" s="35"/>
      <c r="AZ249" s="35"/>
      <c r="BA249" s="22"/>
      <c r="BB249" s="22"/>
      <c r="BC249" s="23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</row>
    <row r="250" spans="2:65">
      <c r="B250" s="20"/>
      <c r="D250" s="19"/>
      <c r="E250" s="22"/>
      <c r="F250" s="22"/>
      <c r="G250" s="22"/>
      <c r="H250" s="22"/>
      <c r="I250" s="23"/>
      <c r="J250" s="24"/>
      <c r="K250" s="23"/>
      <c r="L250" s="24"/>
      <c r="M250" s="23"/>
      <c r="N250" s="24"/>
      <c r="O250" s="23"/>
      <c r="P250" s="24"/>
      <c r="Q250" s="23"/>
      <c r="R250" s="23"/>
      <c r="S250" s="23"/>
      <c r="T250" s="23"/>
      <c r="U250" s="23"/>
      <c r="V250" s="23"/>
      <c r="W250" s="23"/>
      <c r="X250" s="23"/>
      <c r="AO250" s="34"/>
      <c r="AP250" s="22"/>
      <c r="AQ250" s="22"/>
      <c r="AR250" s="22"/>
      <c r="AS250" s="34"/>
      <c r="AT250" s="34"/>
      <c r="AV250" s="34"/>
      <c r="AX250" s="35"/>
      <c r="AY250" s="35"/>
      <c r="AZ250" s="35"/>
      <c r="BA250" s="22"/>
      <c r="BB250" s="22"/>
      <c r="BC250" s="23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</row>
    <row r="251" spans="2:65">
      <c r="B251" s="20"/>
      <c r="D251" s="19"/>
      <c r="E251" s="22"/>
      <c r="F251" s="22"/>
      <c r="G251" s="22"/>
      <c r="H251" s="22"/>
      <c r="I251" s="23"/>
      <c r="J251" s="24"/>
      <c r="K251" s="23"/>
      <c r="L251" s="24"/>
      <c r="M251" s="23"/>
      <c r="N251" s="24"/>
      <c r="O251" s="23"/>
      <c r="P251" s="24"/>
      <c r="Q251" s="23"/>
      <c r="R251" s="23"/>
      <c r="S251" s="23"/>
      <c r="T251" s="23"/>
      <c r="U251" s="23"/>
      <c r="V251" s="23"/>
      <c r="W251" s="23"/>
      <c r="X251" s="23"/>
      <c r="AO251" s="34"/>
      <c r="AP251" s="22"/>
      <c r="AQ251" s="22"/>
      <c r="AR251" s="22"/>
      <c r="AS251" s="34"/>
      <c r="AT251" s="34"/>
      <c r="AV251" s="34"/>
      <c r="AX251" s="35"/>
      <c r="AY251" s="35"/>
      <c r="AZ251" s="35"/>
      <c r="BA251" s="22"/>
      <c r="BB251" s="22"/>
      <c r="BC251" s="23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</row>
    <row r="252" spans="2:65">
      <c r="B252" s="20"/>
      <c r="D252" s="19"/>
      <c r="E252" s="22"/>
      <c r="F252" s="22"/>
      <c r="G252" s="22"/>
      <c r="H252" s="22"/>
      <c r="I252" s="23"/>
      <c r="J252" s="24"/>
      <c r="K252" s="23"/>
      <c r="L252" s="24"/>
      <c r="M252" s="23"/>
      <c r="N252" s="24"/>
      <c r="O252" s="23"/>
      <c r="P252" s="24"/>
      <c r="Q252" s="23"/>
      <c r="R252" s="23"/>
      <c r="S252" s="23"/>
      <c r="T252" s="23"/>
      <c r="U252" s="23"/>
      <c r="V252" s="23"/>
      <c r="W252" s="23"/>
      <c r="X252" s="23"/>
      <c r="AO252" s="34"/>
      <c r="AP252" s="22"/>
      <c r="AQ252" s="22"/>
      <c r="AR252" s="22"/>
      <c r="AS252" s="34"/>
      <c r="AT252" s="34"/>
      <c r="AV252" s="34"/>
      <c r="AX252" s="35"/>
      <c r="AY252" s="35"/>
      <c r="AZ252" s="35"/>
      <c r="BA252" s="22"/>
      <c r="BB252" s="22"/>
      <c r="BC252" s="23"/>
      <c r="BD252" s="22"/>
      <c r="BE252" s="22"/>
      <c r="BF252" s="22"/>
      <c r="BG252" s="22"/>
      <c r="BH252" s="22"/>
      <c r="BI252" s="22"/>
      <c r="BJ252" s="22"/>
      <c r="BK252" s="22"/>
      <c r="BL252" s="22"/>
      <c r="BM252" s="22"/>
    </row>
    <row r="253" spans="2:65">
      <c r="B253" s="20"/>
      <c r="D253" s="19"/>
      <c r="E253" s="22"/>
      <c r="F253" s="22"/>
      <c r="G253" s="22"/>
      <c r="H253" s="22"/>
      <c r="I253" s="23"/>
      <c r="J253" s="24"/>
      <c r="K253" s="23"/>
      <c r="L253" s="24"/>
      <c r="M253" s="23"/>
      <c r="N253" s="24"/>
      <c r="O253" s="23"/>
      <c r="P253" s="24"/>
      <c r="Q253" s="23"/>
      <c r="R253" s="23"/>
      <c r="S253" s="23"/>
      <c r="T253" s="23"/>
      <c r="U253" s="23"/>
      <c r="V253" s="23"/>
      <c r="W253" s="23"/>
      <c r="X253" s="23"/>
      <c r="AO253" s="34"/>
      <c r="AP253" s="22"/>
      <c r="AQ253" s="22"/>
      <c r="AR253" s="22"/>
      <c r="AS253" s="34"/>
      <c r="AT253" s="34"/>
      <c r="AV253" s="34"/>
      <c r="AX253" s="35"/>
      <c r="AY253" s="35"/>
      <c r="AZ253" s="35"/>
      <c r="BA253" s="22"/>
      <c r="BB253" s="22"/>
      <c r="BC253" s="23"/>
      <c r="BD253" s="22"/>
      <c r="BE253" s="22"/>
      <c r="BF253" s="22"/>
      <c r="BG253" s="22"/>
      <c r="BH253" s="22"/>
      <c r="BI253" s="22"/>
      <c r="BJ253" s="22"/>
      <c r="BK253" s="22"/>
      <c r="BL253" s="22"/>
      <c r="BM253" s="22"/>
    </row>
    <row r="254" spans="2:65">
      <c r="B254" s="20"/>
      <c r="D254" s="19"/>
      <c r="E254" s="22"/>
      <c r="F254" s="22"/>
      <c r="G254" s="22"/>
      <c r="H254" s="22"/>
      <c r="I254" s="23"/>
      <c r="J254" s="24"/>
      <c r="K254" s="23"/>
      <c r="L254" s="24"/>
      <c r="M254" s="23"/>
      <c r="N254" s="24"/>
      <c r="O254" s="23"/>
      <c r="P254" s="24"/>
      <c r="Q254" s="23"/>
      <c r="R254" s="23"/>
      <c r="S254" s="23"/>
      <c r="T254" s="23"/>
      <c r="U254" s="23"/>
      <c r="V254" s="23"/>
      <c r="W254" s="23"/>
      <c r="X254" s="23"/>
      <c r="AO254" s="34"/>
      <c r="AP254" s="22"/>
      <c r="AQ254" s="22"/>
      <c r="AR254" s="22"/>
      <c r="AS254" s="34"/>
      <c r="AT254" s="34"/>
      <c r="AV254" s="34"/>
      <c r="AX254" s="35"/>
      <c r="AY254" s="35"/>
      <c r="AZ254" s="35"/>
      <c r="BA254" s="22"/>
      <c r="BB254" s="22"/>
      <c r="BC254" s="23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</row>
    <row r="255" spans="2:65">
      <c r="B255" s="20"/>
      <c r="D255" s="19"/>
      <c r="E255" s="22"/>
      <c r="F255" s="22"/>
      <c r="G255" s="22"/>
      <c r="H255" s="22"/>
      <c r="I255" s="23"/>
      <c r="J255" s="24"/>
      <c r="K255" s="23"/>
      <c r="L255" s="24"/>
      <c r="M255" s="23"/>
      <c r="N255" s="24"/>
      <c r="O255" s="23"/>
      <c r="P255" s="24"/>
      <c r="Q255" s="23"/>
      <c r="R255" s="23"/>
      <c r="S255" s="23"/>
      <c r="T255" s="23"/>
      <c r="U255" s="23"/>
      <c r="V255" s="23"/>
      <c r="W255" s="23"/>
      <c r="X255" s="23"/>
      <c r="AO255" s="34"/>
      <c r="AP255" s="22"/>
      <c r="AQ255" s="22"/>
      <c r="AR255" s="22"/>
      <c r="AS255" s="34"/>
      <c r="AT255" s="34"/>
      <c r="AV255" s="34"/>
      <c r="AX255" s="35"/>
      <c r="AY255" s="35"/>
      <c r="AZ255" s="35"/>
      <c r="BA255" s="22"/>
      <c r="BB255" s="22"/>
      <c r="BC255" s="23"/>
      <c r="BD255" s="22"/>
      <c r="BE255" s="22"/>
      <c r="BF255" s="22"/>
      <c r="BG255" s="22"/>
      <c r="BH255" s="22"/>
      <c r="BI255" s="22"/>
      <c r="BJ255" s="22"/>
      <c r="BK255" s="22"/>
      <c r="BL255" s="22"/>
      <c r="BM255" s="22"/>
    </row>
    <row r="256" spans="2:65">
      <c r="B256" s="20"/>
      <c r="D256" s="19"/>
      <c r="E256" s="22"/>
      <c r="F256" s="22"/>
      <c r="G256" s="22"/>
      <c r="H256" s="22"/>
      <c r="I256" s="23"/>
      <c r="J256" s="24"/>
      <c r="K256" s="23"/>
      <c r="L256" s="24"/>
      <c r="M256" s="23"/>
      <c r="N256" s="24"/>
      <c r="O256" s="23"/>
      <c r="P256" s="24"/>
      <c r="Q256" s="23"/>
      <c r="R256" s="23"/>
      <c r="S256" s="23"/>
      <c r="T256" s="23"/>
      <c r="U256" s="23"/>
      <c r="V256" s="23"/>
      <c r="W256" s="23"/>
      <c r="X256" s="23"/>
      <c r="AO256" s="34"/>
      <c r="AP256" s="22"/>
      <c r="AQ256" s="22"/>
      <c r="AR256" s="22"/>
      <c r="AS256" s="34"/>
      <c r="AT256" s="34"/>
      <c r="AV256" s="34"/>
      <c r="AX256" s="35"/>
      <c r="AY256" s="35"/>
      <c r="AZ256" s="35"/>
      <c r="BA256" s="22"/>
      <c r="BB256" s="22"/>
      <c r="BC256" s="23"/>
      <c r="BD256" s="22"/>
      <c r="BE256" s="22"/>
      <c r="BF256" s="22"/>
      <c r="BG256" s="22"/>
      <c r="BH256" s="22"/>
      <c r="BI256" s="22"/>
      <c r="BJ256" s="22"/>
      <c r="BK256" s="22"/>
      <c r="BL256" s="22"/>
      <c r="BM256" s="22"/>
    </row>
    <row r="257" spans="2:65">
      <c r="B257" s="20"/>
      <c r="D257" s="19"/>
      <c r="E257" s="22"/>
      <c r="F257" s="22"/>
      <c r="G257" s="22"/>
      <c r="H257" s="22"/>
      <c r="I257" s="23"/>
      <c r="J257" s="24"/>
      <c r="K257" s="23"/>
      <c r="L257" s="24"/>
      <c r="M257" s="23"/>
      <c r="N257" s="24"/>
      <c r="O257" s="23"/>
      <c r="P257" s="24"/>
      <c r="Q257" s="23"/>
      <c r="R257" s="23"/>
      <c r="S257" s="23"/>
      <c r="T257" s="23"/>
      <c r="U257" s="23"/>
      <c r="V257" s="23"/>
      <c r="W257" s="23"/>
      <c r="X257" s="23"/>
      <c r="AO257" s="34"/>
      <c r="AP257" s="22"/>
      <c r="AQ257" s="22"/>
      <c r="AR257" s="22"/>
      <c r="AS257" s="34"/>
      <c r="AT257" s="34"/>
      <c r="AV257" s="34"/>
      <c r="AX257" s="35"/>
      <c r="AY257" s="35"/>
      <c r="AZ257" s="35"/>
      <c r="BA257" s="22"/>
      <c r="BB257" s="22"/>
      <c r="BC257" s="23"/>
      <c r="BD257" s="22"/>
      <c r="BE257" s="22"/>
      <c r="BF257" s="22"/>
      <c r="BG257" s="22"/>
      <c r="BH257" s="22"/>
      <c r="BI257" s="22"/>
      <c r="BJ257" s="22"/>
      <c r="BK257" s="22"/>
      <c r="BL257" s="22"/>
      <c r="BM257" s="22"/>
    </row>
    <row r="258" spans="2:65">
      <c r="B258" s="20"/>
      <c r="D258" s="19"/>
      <c r="E258" s="22"/>
      <c r="F258" s="22"/>
      <c r="G258" s="22"/>
      <c r="H258" s="22"/>
      <c r="I258" s="23"/>
      <c r="J258" s="24"/>
      <c r="K258" s="23"/>
      <c r="L258" s="24"/>
      <c r="M258" s="23"/>
      <c r="N258" s="24"/>
      <c r="O258" s="23"/>
      <c r="P258" s="24"/>
      <c r="Q258" s="23"/>
      <c r="R258" s="23"/>
      <c r="S258" s="23"/>
      <c r="T258" s="23"/>
      <c r="U258" s="23"/>
      <c r="V258" s="23"/>
      <c r="W258" s="23"/>
      <c r="X258" s="23"/>
      <c r="AO258" s="34"/>
      <c r="AP258" s="22"/>
      <c r="AQ258" s="22"/>
      <c r="AR258" s="22"/>
      <c r="AS258" s="34"/>
      <c r="AT258" s="34"/>
      <c r="AV258" s="34"/>
      <c r="AX258" s="35"/>
      <c r="AY258" s="35"/>
      <c r="AZ258" s="35"/>
      <c r="BA258" s="22"/>
      <c r="BB258" s="22"/>
      <c r="BC258" s="23"/>
      <c r="BD258" s="22"/>
      <c r="BE258" s="22"/>
      <c r="BF258" s="22"/>
      <c r="BG258" s="22"/>
      <c r="BH258" s="22"/>
      <c r="BI258" s="22"/>
      <c r="BJ258" s="22"/>
      <c r="BK258" s="22"/>
      <c r="BL258" s="22"/>
      <c r="BM258" s="22"/>
    </row>
    <row r="259" spans="2:65">
      <c r="B259" s="20"/>
      <c r="D259" s="19"/>
      <c r="E259" s="22"/>
      <c r="F259" s="22"/>
      <c r="G259" s="22"/>
      <c r="H259" s="22"/>
      <c r="I259" s="23"/>
      <c r="J259" s="24"/>
      <c r="K259" s="23"/>
      <c r="L259" s="24"/>
      <c r="M259" s="23"/>
      <c r="N259" s="24"/>
      <c r="O259" s="23"/>
      <c r="P259" s="24"/>
      <c r="Q259" s="23"/>
      <c r="R259" s="23"/>
      <c r="S259" s="23"/>
      <c r="T259" s="23"/>
      <c r="U259" s="23"/>
      <c r="V259" s="23"/>
      <c r="W259" s="23"/>
      <c r="X259" s="23"/>
      <c r="AO259" s="34"/>
      <c r="AP259" s="22"/>
      <c r="AQ259" s="22"/>
      <c r="AR259" s="22"/>
      <c r="AS259" s="34"/>
      <c r="AT259" s="34"/>
      <c r="AV259" s="34"/>
      <c r="AX259" s="35"/>
      <c r="AY259" s="35"/>
      <c r="AZ259" s="35"/>
      <c r="BA259" s="22"/>
      <c r="BB259" s="22"/>
      <c r="BC259" s="23"/>
      <c r="BD259" s="22"/>
      <c r="BE259" s="22"/>
      <c r="BF259" s="22"/>
      <c r="BG259" s="22"/>
      <c r="BH259" s="22"/>
      <c r="BI259" s="22"/>
      <c r="BJ259" s="22"/>
      <c r="BK259" s="22"/>
      <c r="BL259" s="22"/>
      <c r="BM259" s="22"/>
    </row>
    <row r="260" spans="2:65">
      <c r="B260" s="20"/>
      <c r="D260" s="19"/>
      <c r="E260" s="22"/>
      <c r="F260" s="22"/>
      <c r="G260" s="22"/>
      <c r="H260" s="22"/>
      <c r="I260" s="23"/>
      <c r="J260" s="24"/>
      <c r="K260" s="23"/>
      <c r="L260" s="24"/>
      <c r="M260" s="23"/>
      <c r="N260" s="24"/>
      <c r="O260" s="23"/>
      <c r="P260" s="24"/>
      <c r="Q260" s="23"/>
      <c r="R260" s="23"/>
      <c r="S260" s="23"/>
      <c r="T260" s="23"/>
      <c r="U260" s="23"/>
      <c r="V260" s="23"/>
      <c r="W260" s="23"/>
      <c r="X260" s="23"/>
      <c r="AO260" s="34"/>
      <c r="AP260" s="22"/>
      <c r="AQ260" s="22"/>
      <c r="AR260" s="22"/>
      <c r="AS260" s="34"/>
      <c r="AT260" s="34"/>
      <c r="AV260" s="34"/>
      <c r="AX260" s="35"/>
      <c r="AY260" s="35"/>
      <c r="AZ260" s="35"/>
      <c r="BA260" s="22"/>
      <c r="BB260" s="22"/>
      <c r="BC260" s="23"/>
      <c r="BD260" s="22"/>
      <c r="BE260" s="22"/>
      <c r="BF260" s="22"/>
      <c r="BG260" s="22"/>
      <c r="BH260" s="22"/>
      <c r="BI260" s="22"/>
      <c r="BJ260" s="22"/>
      <c r="BK260" s="22"/>
      <c r="BL260" s="22"/>
      <c r="BM260" s="22"/>
    </row>
    <row r="261" spans="2:65">
      <c r="B261" s="20"/>
      <c r="D261" s="19"/>
      <c r="E261" s="22"/>
      <c r="F261" s="22"/>
      <c r="G261" s="22"/>
      <c r="H261" s="22"/>
      <c r="I261" s="23"/>
      <c r="J261" s="24"/>
      <c r="K261" s="23"/>
      <c r="L261" s="24"/>
      <c r="M261" s="23"/>
      <c r="N261" s="24"/>
      <c r="O261" s="23"/>
      <c r="P261" s="24"/>
      <c r="Q261" s="23"/>
      <c r="R261" s="23"/>
      <c r="S261" s="23"/>
      <c r="T261" s="23"/>
      <c r="U261" s="23"/>
      <c r="V261" s="23"/>
      <c r="W261" s="23"/>
      <c r="X261" s="23"/>
      <c r="AO261" s="34"/>
      <c r="AP261" s="22"/>
      <c r="AQ261" s="22"/>
      <c r="AR261" s="22"/>
      <c r="AS261" s="34"/>
      <c r="AT261" s="34"/>
      <c r="AV261" s="34"/>
      <c r="AX261" s="35"/>
      <c r="AY261" s="35"/>
      <c r="AZ261" s="35"/>
      <c r="BA261" s="22"/>
      <c r="BB261" s="22"/>
      <c r="BC261" s="23"/>
      <c r="BD261" s="22"/>
      <c r="BE261" s="22"/>
      <c r="BF261" s="22"/>
      <c r="BG261" s="22"/>
      <c r="BH261" s="22"/>
      <c r="BI261" s="22"/>
      <c r="BJ261" s="22"/>
      <c r="BK261" s="22"/>
      <c r="BL261" s="22"/>
      <c r="BM261" s="22"/>
    </row>
    <row r="262" spans="2:65">
      <c r="B262" s="20"/>
      <c r="D262" s="19"/>
      <c r="E262" s="22"/>
      <c r="F262" s="22"/>
      <c r="G262" s="22"/>
      <c r="H262" s="22"/>
      <c r="I262" s="23"/>
      <c r="J262" s="24"/>
      <c r="K262" s="23"/>
      <c r="L262" s="24"/>
      <c r="M262" s="23"/>
      <c r="N262" s="24"/>
      <c r="O262" s="23"/>
      <c r="P262" s="24"/>
      <c r="Q262" s="23"/>
      <c r="R262" s="23"/>
      <c r="S262" s="23"/>
      <c r="T262" s="23"/>
      <c r="U262" s="23"/>
      <c r="V262" s="23"/>
      <c r="W262" s="23"/>
      <c r="X262" s="23"/>
      <c r="AO262" s="34"/>
      <c r="AP262" s="22"/>
      <c r="AQ262" s="22"/>
      <c r="AR262" s="22"/>
      <c r="AS262" s="34"/>
      <c r="AT262" s="34"/>
      <c r="AV262" s="34"/>
      <c r="AX262" s="35"/>
      <c r="AY262" s="35"/>
      <c r="AZ262" s="35"/>
      <c r="BA262" s="22"/>
      <c r="BB262" s="22"/>
      <c r="BC262" s="23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</row>
    <row r="263" spans="2:65">
      <c r="B263" s="20"/>
      <c r="D263" s="19"/>
      <c r="E263" s="22"/>
      <c r="F263" s="22"/>
      <c r="G263" s="22"/>
      <c r="H263" s="22"/>
      <c r="I263" s="23"/>
      <c r="J263" s="24"/>
      <c r="K263" s="23"/>
      <c r="L263" s="24"/>
      <c r="M263" s="23"/>
      <c r="N263" s="24"/>
      <c r="O263" s="23"/>
      <c r="P263" s="24"/>
      <c r="Q263" s="23"/>
      <c r="R263" s="23"/>
      <c r="S263" s="23"/>
      <c r="T263" s="23"/>
      <c r="U263" s="23"/>
      <c r="V263" s="23"/>
      <c r="W263" s="23"/>
      <c r="X263" s="23"/>
      <c r="AO263" s="34"/>
      <c r="AP263" s="22"/>
      <c r="AQ263" s="22"/>
      <c r="AR263" s="22"/>
      <c r="AS263" s="34"/>
      <c r="AT263" s="34"/>
      <c r="AV263" s="34"/>
      <c r="AX263" s="35"/>
      <c r="AY263" s="35"/>
      <c r="AZ263" s="35"/>
      <c r="BA263" s="22"/>
      <c r="BB263" s="22"/>
      <c r="BC263" s="23"/>
      <c r="BD263" s="22"/>
      <c r="BE263" s="22"/>
      <c r="BF263" s="22"/>
      <c r="BG263" s="22"/>
      <c r="BH263" s="22"/>
      <c r="BI263" s="22"/>
      <c r="BJ263" s="22"/>
      <c r="BK263" s="22"/>
      <c r="BL263" s="22"/>
      <c r="BM263" s="22"/>
    </row>
    <row r="264" spans="2:65">
      <c r="B264" s="20"/>
      <c r="D264" s="19"/>
      <c r="E264" s="22"/>
      <c r="F264" s="22"/>
      <c r="G264" s="22"/>
      <c r="H264" s="22"/>
      <c r="I264" s="23"/>
      <c r="J264" s="24"/>
      <c r="K264" s="23"/>
      <c r="L264" s="24"/>
      <c r="M264" s="23"/>
      <c r="N264" s="24"/>
      <c r="O264" s="23"/>
      <c r="P264" s="24"/>
      <c r="Q264" s="23"/>
      <c r="R264" s="23"/>
      <c r="S264" s="23"/>
      <c r="T264" s="23"/>
      <c r="U264" s="23"/>
      <c r="V264" s="23"/>
      <c r="W264" s="23"/>
      <c r="X264" s="23"/>
      <c r="AO264" s="34"/>
      <c r="AP264" s="22"/>
      <c r="AQ264" s="22"/>
      <c r="AR264" s="22"/>
      <c r="AS264" s="34"/>
      <c r="AT264" s="34"/>
      <c r="AV264" s="34"/>
      <c r="AX264" s="35"/>
      <c r="AY264" s="35"/>
      <c r="AZ264" s="35"/>
      <c r="BA264" s="22"/>
      <c r="BB264" s="22"/>
      <c r="BC264" s="23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</row>
    <row r="265" spans="2:65">
      <c r="B265" s="20"/>
      <c r="D265" s="19"/>
      <c r="E265" s="22"/>
      <c r="F265" s="22"/>
      <c r="G265" s="22"/>
      <c r="H265" s="22"/>
      <c r="I265" s="23"/>
      <c r="J265" s="24"/>
      <c r="K265" s="23"/>
      <c r="L265" s="24"/>
      <c r="M265" s="23"/>
      <c r="N265" s="24"/>
      <c r="O265" s="23"/>
      <c r="P265" s="24"/>
      <c r="Q265" s="23"/>
      <c r="R265" s="23"/>
      <c r="S265" s="23"/>
      <c r="T265" s="23"/>
      <c r="U265" s="23"/>
      <c r="V265" s="23"/>
      <c r="W265" s="23"/>
      <c r="X265" s="23"/>
      <c r="AO265" s="34"/>
      <c r="AP265" s="22"/>
      <c r="AQ265" s="22"/>
      <c r="AR265" s="22"/>
      <c r="AS265" s="34"/>
      <c r="AT265" s="34"/>
      <c r="AV265" s="34"/>
      <c r="AX265" s="35"/>
      <c r="AY265" s="35"/>
      <c r="AZ265" s="35"/>
      <c r="BA265" s="22"/>
      <c r="BB265" s="22"/>
      <c r="BC265" s="23"/>
      <c r="BD265" s="22"/>
      <c r="BE265" s="22"/>
      <c r="BF265" s="22"/>
      <c r="BG265" s="22"/>
      <c r="BH265" s="22"/>
      <c r="BI265" s="22"/>
      <c r="BJ265" s="22"/>
      <c r="BK265" s="22"/>
      <c r="BL265" s="22"/>
      <c r="BM265" s="22"/>
    </row>
    <row r="266" spans="2:65">
      <c r="B266" s="20"/>
      <c r="D266" s="19"/>
      <c r="E266" s="22"/>
      <c r="F266" s="22"/>
      <c r="G266" s="22"/>
      <c r="H266" s="22"/>
      <c r="I266" s="23"/>
      <c r="J266" s="24"/>
      <c r="K266" s="23"/>
      <c r="L266" s="24"/>
      <c r="M266" s="23"/>
      <c r="N266" s="24"/>
      <c r="O266" s="23"/>
      <c r="P266" s="24"/>
      <c r="Q266" s="23"/>
      <c r="R266" s="23"/>
      <c r="S266" s="23"/>
      <c r="T266" s="23"/>
      <c r="U266" s="23"/>
      <c r="V266" s="23"/>
      <c r="W266" s="23"/>
      <c r="X266" s="23"/>
      <c r="AO266" s="34"/>
      <c r="AP266" s="22"/>
      <c r="AQ266" s="22"/>
      <c r="AR266" s="22"/>
      <c r="AS266" s="34"/>
      <c r="AT266" s="34"/>
      <c r="AV266" s="34"/>
      <c r="AX266" s="35"/>
      <c r="AY266" s="35"/>
      <c r="AZ266" s="35"/>
      <c r="BA266" s="22"/>
      <c r="BB266" s="22"/>
      <c r="BC266" s="23"/>
      <c r="BD266" s="22"/>
      <c r="BE266" s="22"/>
      <c r="BF266" s="22"/>
      <c r="BG266" s="22"/>
      <c r="BH266" s="22"/>
      <c r="BI266" s="22"/>
      <c r="BJ266" s="22"/>
      <c r="BK266" s="22"/>
      <c r="BL266" s="22"/>
      <c r="BM266" s="22"/>
    </row>
    <row r="267" spans="2:65">
      <c r="B267" s="20"/>
      <c r="D267" s="19"/>
      <c r="E267" s="22"/>
      <c r="F267" s="22"/>
      <c r="G267" s="22"/>
      <c r="H267" s="22"/>
      <c r="I267" s="23"/>
      <c r="J267" s="24"/>
      <c r="K267" s="23"/>
      <c r="L267" s="24"/>
      <c r="M267" s="23"/>
      <c r="N267" s="24"/>
      <c r="O267" s="23"/>
      <c r="P267" s="24"/>
      <c r="Q267" s="23"/>
      <c r="R267" s="23"/>
      <c r="S267" s="23"/>
      <c r="T267" s="23"/>
      <c r="U267" s="23"/>
      <c r="V267" s="23"/>
      <c r="W267" s="23"/>
      <c r="X267" s="23"/>
      <c r="AO267" s="34"/>
      <c r="AP267" s="22"/>
      <c r="AQ267" s="22"/>
      <c r="AR267" s="22"/>
      <c r="AS267" s="34"/>
      <c r="AT267" s="34"/>
      <c r="AV267" s="34"/>
      <c r="AX267" s="35"/>
      <c r="AY267" s="35"/>
      <c r="AZ267" s="35"/>
      <c r="BA267" s="22"/>
      <c r="BB267" s="22"/>
      <c r="BC267" s="23"/>
      <c r="BD267" s="22"/>
      <c r="BE267" s="22"/>
      <c r="BF267" s="22"/>
      <c r="BG267" s="22"/>
      <c r="BH267" s="22"/>
      <c r="BI267" s="22"/>
      <c r="BJ267" s="22"/>
      <c r="BK267" s="22"/>
      <c r="BL267" s="22"/>
      <c r="BM267" s="22"/>
    </row>
    <row r="268" spans="2:65">
      <c r="B268" s="20"/>
      <c r="D268" s="19"/>
      <c r="E268" s="22"/>
      <c r="F268" s="22"/>
      <c r="G268" s="22"/>
      <c r="H268" s="22"/>
      <c r="I268" s="23"/>
      <c r="J268" s="24"/>
      <c r="K268" s="23"/>
      <c r="L268" s="24"/>
      <c r="M268" s="23"/>
      <c r="N268" s="24"/>
      <c r="O268" s="23"/>
      <c r="P268" s="24"/>
      <c r="Q268" s="23"/>
      <c r="R268" s="23"/>
      <c r="S268" s="23"/>
      <c r="T268" s="23"/>
      <c r="U268" s="23"/>
      <c r="V268" s="23"/>
      <c r="W268" s="23"/>
      <c r="X268" s="23"/>
      <c r="AO268" s="34"/>
      <c r="AP268" s="22"/>
      <c r="AQ268" s="22"/>
      <c r="AR268" s="22"/>
      <c r="AS268" s="34"/>
      <c r="AT268" s="34"/>
      <c r="AV268" s="34"/>
      <c r="AX268" s="35"/>
      <c r="AY268" s="35"/>
      <c r="AZ268" s="35"/>
      <c r="BA268" s="22"/>
      <c r="BB268" s="22"/>
      <c r="BC268" s="23"/>
      <c r="BD268" s="22"/>
      <c r="BE268" s="22"/>
      <c r="BF268" s="22"/>
      <c r="BG268" s="22"/>
      <c r="BH268" s="22"/>
      <c r="BI268" s="22"/>
      <c r="BJ268" s="22"/>
      <c r="BK268" s="22"/>
      <c r="BL268" s="22"/>
      <c r="BM268" s="22"/>
    </row>
    <row r="269" spans="2:65">
      <c r="B269" s="20"/>
      <c r="D269" s="19"/>
      <c r="E269" s="22"/>
      <c r="F269" s="22"/>
      <c r="G269" s="22"/>
      <c r="H269" s="22"/>
      <c r="I269" s="23"/>
      <c r="J269" s="24"/>
      <c r="K269" s="23"/>
      <c r="L269" s="24"/>
      <c r="M269" s="23"/>
      <c r="N269" s="24"/>
      <c r="O269" s="23"/>
      <c r="P269" s="24"/>
      <c r="Q269" s="23"/>
      <c r="R269" s="23"/>
      <c r="S269" s="23"/>
      <c r="T269" s="23"/>
      <c r="U269" s="23"/>
      <c r="V269" s="23"/>
      <c r="W269" s="23"/>
      <c r="X269" s="23"/>
      <c r="AO269" s="34"/>
      <c r="AP269" s="22"/>
      <c r="AQ269" s="22"/>
      <c r="AR269" s="22"/>
      <c r="AS269" s="34"/>
      <c r="AT269" s="34"/>
      <c r="AV269" s="34"/>
      <c r="AX269" s="35"/>
      <c r="AY269" s="35"/>
      <c r="AZ269" s="35"/>
      <c r="BA269" s="22"/>
      <c r="BB269" s="22"/>
      <c r="BC269" s="23"/>
      <c r="BD269" s="22"/>
      <c r="BE269" s="22"/>
      <c r="BF269" s="22"/>
      <c r="BG269" s="22"/>
      <c r="BH269" s="22"/>
      <c r="BI269" s="22"/>
      <c r="BJ269" s="22"/>
      <c r="BK269" s="22"/>
      <c r="BL269" s="22"/>
      <c r="BM269" s="22"/>
    </row>
    <row r="270" spans="2:65">
      <c r="B270" s="20"/>
      <c r="D270" s="19"/>
      <c r="E270" s="22"/>
      <c r="F270" s="22"/>
      <c r="G270" s="22"/>
      <c r="H270" s="22"/>
      <c r="I270" s="23"/>
      <c r="J270" s="24"/>
      <c r="K270" s="23"/>
      <c r="L270" s="24"/>
      <c r="M270" s="23"/>
      <c r="N270" s="24"/>
      <c r="O270" s="23"/>
      <c r="P270" s="24"/>
      <c r="Q270" s="23"/>
      <c r="R270" s="23"/>
      <c r="S270" s="23"/>
      <c r="T270" s="23"/>
      <c r="U270" s="23"/>
      <c r="V270" s="23"/>
      <c r="W270" s="23"/>
      <c r="X270" s="23"/>
      <c r="AO270" s="34"/>
      <c r="AP270" s="22"/>
      <c r="AQ270" s="22"/>
      <c r="AR270" s="22"/>
      <c r="AS270" s="34"/>
      <c r="AT270" s="34"/>
      <c r="AV270" s="34"/>
      <c r="AX270" s="35"/>
      <c r="AY270" s="35"/>
      <c r="AZ270" s="35"/>
      <c r="BA270" s="22"/>
      <c r="BB270" s="22"/>
      <c r="BC270" s="23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</row>
    <row r="271" spans="2:65">
      <c r="B271" s="20"/>
      <c r="D271" s="19"/>
      <c r="E271" s="22"/>
      <c r="F271" s="22"/>
      <c r="G271" s="22"/>
      <c r="H271" s="22"/>
      <c r="I271" s="23"/>
      <c r="J271" s="24"/>
      <c r="K271" s="23"/>
      <c r="L271" s="24"/>
      <c r="M271" s="23"/>
      <c r="N271" s="24"/>
      <c r="O271" s="23"/>
      <c r="P271" s="24"/>
      <c r="Q271" s="23"/>
      <c r="R271" s="23"/>
      <c r="S271" s="23"/>
      <c r="T271" s="23"/>
      <c r="U271" s="23"/>
      <c r="V271" s="23"/>
      <c r="W271" s="23"/>
      <c r="X271" s="23"/>
      <c r="AO271" s="34"/>
      <c r="AP271" s="22"/>
      <c r="AQ271" s="22"/>
      <c r="AR271" s="22"/>
      <c r="AS271" s="34"/>
      <c r="AT271" s="34"/>
      <c r="AV271" s="34"/>
      <c r="AX271" s="35"/>
      <c r="AY271" s="35"/>
      <c r="AZ271" s="35"/>
      <c r="BA271" s="22"/>
      <c r="BB271" s="22"/>
      <c r="BC271" s="23"/>
      <c r="BD271" s="22"/>
      <c r="BE271" s="22"/>
      <c r="BF271" s="22"/>
      <c r="BG271" s="22"/>
      <c r="BH271" s="22"/>
      <c r="BI271" s="22"/>
      <c r="BJ271" s="22"/>
      <c r="BK271" s="22"/>
      <c r="BL271" s="22"/>
      <c r="BM271" s="22"/>
    </row>
    <row r="272" spans="2:65">
      <c r="B272" s="20"/>
      <c r="D272" s="19"/>
      <c r="E272" s="22"/>
      <c r="F272" s="22"/>
      <c r="G272" s="22"/>
      <c r="H272" s="22"/>
      <c r="I272" s="23"/>
      <c r="J272" s="24"/>
      <c r="K272" s="23"/>
      <c r="L272" s="24"/>
      <c r="M272" s="23"/>
      <c r="N272" s="24"/>
      <c r="O272" s="23"/>
      <c r="P272" s="24"/>
      <c r="Q272" s="23"/>
      <c r="R272" s="23"/>
      <c r="S272" s="23"/>
      <c r="T272" s="23"/>
      <c r="U272" s="23"/>
      <c r="V272" s="23"/>
      <c r="W272" s="23"/>
      <c r="X272" s="23"/>
      <c r="AO272" s="34"/>
      <c r="AP272" s="22"/>
      <c r="AQ272" s="22"/>
      <c r="AR272" s="22"/>
      <c r="AS272" s="34"/>
      <c r="AT272" s="34"/>
      <c r="AV272" s="34"/>
      <c r="AX272" s="35"/>
      <c r="AY272" s="35"/>
      <c r="AZ272" s="35"/>
      <c r="BA272" s="22"/>
      <c r="BB272" s="22"/>
      <c r="BC272" s="23"/>
      <c r="BD272" s="22"/>
      <c r="BE272" s="22"/>
      <c r="BF272" s="22"/>
      <c r="BG272" s="22"/>
      <c r="BH272" s="22"/>
      <c r="BI272" s="22"/>
      <c r="BJ272" s="22"/>
      <c r="BK272" s="22"/>
      <c r="BL272" s="22"/>
      <c r="BM272" s="22"/>
    </row>
    <row r="273" spans="2:65">
      <c r="B273" s="20"/>
      <c r="D273" s="19"/>
      <c r="E273" s="22"/>
      <c r="F273" s="22"/>
      <c r="G273" s="22"/>
      <c r="H273" s="22"/>
      <c r="I273" s="23"/>
      <c r="J273" s="24"/>
      <c r="K273" s="23"/>
      <c r="L273" s="24"/>
      <c r="M273" s="23"/>
      <c r="N273" s="24"/>
      <c r="O273" s="23"/>
      <c r="P273" s="24"/>
      <c r="Q273" s="23"/>
      <c r="R273" s="23"/>
      <c r="S273" s="23"/>
      <c r="T273" s="23"/>
      <c r="U273" s="23"/>
      <c r="V273" s="23"/>
      <c r="W273" s="23"/>
      <c r="X273" s="23"/>
      <c r="AO273" s="34"/>
      <c r="AP273" s="22"/>
      <c r="AQ273" s="22"/>
      <c r="AR273" s="22"/>
      <c r="AS273" s="34"/>
      <c r="AT273" s="34"/>
      <c r="AV273" s="34"/>
      <c r="AX273" s="35"/>
      <c r="AY273" s="35"/>
      <c r="AZ273" s="35"/>
      <c r="BA273" s="22"/>
      <c r="BB273" s="22"/>
      <c r="BC273" s="23"/>
      <c r="BD273" s="22"/>
      <c r="BE273" s="22"/>
      <c r="BF273" s="22"/>
      <c r="BG273" s="22"/>
      <c r="BH273" s="22"/>
      <c r="BI273" s="22"/>
      <c r="BJ273" s="22"/>
      <c r="BK273" s="22"/>
      <c r="BL273" s="22"/>
      <c r="BM273" s="22"/>
    </row>
    <row r="274" spans="2:65">
      <c r="B274" s="20"/>
      <c r="D274" s="19"/>
      <c r="E274" s="22"/>
      <c r="F274" s="22"/>
      <c r="G274" s="22"/>
      <c r="H274" s="22"/>
      <c r="I274" s="23"/>
      <c r="J274" s="24"/>
      <c r="K274" s="23"/>
      <c r="L274" s="24"/>
      <c r="M274" s="23"/>
      <c r="N274" s="24"/>
      <c r="O274" s="23"/>
      <c r="P274" s="24"/>
      <c r="Q274" s="23"/>
      <c r="R274" s="23"/>
      <c r="S274" s="23"/>
      <c r="T274" s="23"/>
      <c r="U274" s="23"/>
      <c r="V274" s="23"/>
      <c r="W274" s="23"/>
      <c r="X274" s="23"/>
      <c r="AO274" s="34"/>
      <c r="AP274" s="22"/>
      <c r="AQ274" s="22"/>
      <c r="AR274" s="22"/>
      <c r="AS274" s="34"/>
      <c r="AT274" s="34"/>
      <c r="AV274" s="34"/>
      <c r="AX274" s="35"/>
      <c r="AY274" s="35"/>
      <c r="AZ274" s="35"/>
      <c r="BA274" s="22"/>
      <c r="BB274" s="22"/>
      <c r="BC274" s="23"/>
      <c r="BD274" s="22"/>
      <c r="BE274" s="22"/>
      <c r="BF274" s="22"/>
      <c r="BG274" s="22"/>
      <c r="BH274" s="22"/>
      <c r="BI274" s="22"/>
      <c r="BJ274" s="22"/>
      <c r="BK274" s="22"/>
      <c r="BL274" s="22"/>
      <c r="BM274" s="22"/>
    </row>
    <row r="275" spans="2:65">
      <c r="B275" s="20"/>
      <c r="D275" s="19"/>
      <c r="E275" s="22"/>
      <c r="F275" s="22"/>
      <c r="G275" s="22"/>
      <c r="H275" s="22"/>
      <c r="I275" s="23"/>
      <c r="J275" s="24"/>
      <c r="K275" s="23"/>
      <c r="L275" s="24"/>
      <c r="M275" s="23"/>
      <c r="N275" s="24"/>
      <c r="O275" s="23"/>
      <c r="P275" s="24"/>
      <c r="Q275" s="23"/>
      <c r="R275" s="23"/>
      <c r="S275" s="23"/>
      <c r="T275" s="23"/>
      <c r="U275" s="23"/>
      <c r="V275" s="23"/>
      <c r="W275" s="23"/>
      <c r="X275" s="23"/>
      <c r="AO275" s="34"/>
      <c r="AP275" s="22"/>
      <c r="AQ275" s="22"/>
      <c r="AR275" s="22"/>
      <c r="AS275" s="34"/>
      <c r="AT275" s="34"/>
      <c r="AV275" s="34"/>
      <c r="AX275" s="35"/>
      <c r="AY275" s="35"/>
      <c r="AZ275" s="35"/>
      <c r="BA275" s="22"/>
      <c r="BB275" s="22"/>
      <c r="BC275" s="23"/>
      <c r="BD275" s="22"/>
      <c r="BE275" s="22"/>
      <c r="BF275" s="22"/>
      <c r="BG275" s="22"/>
      <c r="BH275" s="22"/>
      <c r="BI275" s="22"/>
      <c r="BJ275" s="22"/>
      <c r="BK275" s="22"/>
      <c r="BL275" s="22"/>
      <c r="BM275" s="22"/>
    </row>
    <row r="276" spans="2:65">
      <c r="B276" s="20"/>
      <c r="D276" s="19"/>
      <c r="E276" s="22"/>
      <c r="F276" s="22"/>
      <c r="G276" s="22"/>
      <c r="H276" s="22"/>
      <c r="I276" s="23"/>
      <c r="J276" s="24"/>
      <c r="K276" s="23"/>
      <c r="L276" s="24"/>
      <c r="M276" s="23"/>
      <c r="N276" s="24"/>
      <c r="O276" s="23"/>
      <c r="P276" s="24"/>
      <c r="Q276" s="23"/>
      <c r="R276" s="23"/>
      <c r="S276" s="23"/>
      <c r="T276" s="23"/>
      <c r="U276" s="23"/>
      <c r="V276" s="23"/>
      <c r="W276" s="23"/>
      <c r="X276" s="23"/>
      <c r="AO276" s="34"/>
      <c r="AP276" s="22"/>
      <c r="AQ276" s="22"/>
      <c r="AR276" s="22"/>
      <c r="AS276" s="34"/>
      <c r="AT276" s="34"/>
      <c r="AV276" s="34"/>
      <c r="AX276" s="35"/>
      <c r="AY276" s="35"/>
      <c r="AZ276" s="35"/>
      <c r="BA276" s="22"/>
      <c r="BB276" s="22"/>
      <c r="BC276" s="23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</row>
    <row r="277" spans="2:65">
      <c r="B277" s="20"/>
      <c r="D277" s="19"/>
      <c r="E277" s="22"/>
      <c r="F277" s="22"/>
      <c r="G277" s="22"/>
      <c r="H277" s="22"/>
      <c r="I277" s="23"/>
      <c r="J277" s="24"/>
      <c r="K277" s="23"/>
      <c r="L277" s="24"/>
      <c r="M277" s="23"/>
      <c r="N277" s="24"/>
      <c r="O277" s="23"/>
      <c r="P277" s="24"/>
      <c r="Q277" s="23"/>
      <c r="R277" s="23"/>
      <c r="S277" s="23"/>
      <c r="T277" s="23"/>
      <c r="U277" s="23"/>
      <c r="V277" s="23"/>
      <c r="W277" s="23"/>
      <c r="X277" s="23"/>
      <c r="AO277" s="34"/>
      <c r="AP277" s="22"/>
      <c r="AQ277" s="22"/>
      <c r="AR277" s="22"/>
      <c r="AS277" s="34"/>
      <c r="AT277" s="34"/>
      <c r="AV277" s="34"/>
      <c r="AX277" s="35"/>
      <c r="AY277" s="35"/>
      <c r="AZ277" s="35"/>
      <c r="BA277" s="22"/>
      <c r="BB277" s="22"/>
      <c r="BC277" s="23"/>
      <c r="BD277" s="22"/>
      <c r="BE277" s="22"/>
      <c r="BF277" s="22"/>
      <c r="BG277" s="22"/>
      <c r="BH277" s="22"/>
      <c r="BI277" s="22"/>
      <c r="BJ277" s="22"/>
      <c r="BK277" s="22"/>
      <c r="BL277" s="22"/>
      <c r="BM277" s="22"/>
    </row>
    <row r="278" spans="2:65">
      <c r="B278" s="20"/>
      <c r="D278" s="19"/>
      <c r="E278" s="22"/>
      <c r="F278" s="22"/>
      <c r="G278" s="22"/>
      <c r="H278" s="22"/>
      <c r="I278" s="23"/>
      <c r="J278" s="24"/>
      <c r="K278" s="23"/>
      <c r="L278" s="24"/>
      <c r="M278" s="23"/>
      <c r="N278" s="24"/>
      <c r="O278" s="23"/>
      <c r="P278" s="24"/>
      <c r="Q278" s="23"/>
      <c r="R278" s="23"/>
      <c r="S278" s="23"/>
      <c r="T278" s="23"/>
      <c r="U278" s="23"/>
      <c r="V278" s="23"/>
      <c r="W278" s="23"/>
      <c r="X278" s="23"/>
      <c r="AO278" s="34"/>
      <c r="AP278" s="22"/>
      <c r="AQ278" s="22"/>
      <c r="AR278" s="22"/>
      <c r="AS278" s="34"/>
      <c r="AT278" s="34"/>
      <c r="AV278" s="34"/>
      <c r="AX278" s="35"/>
      <c r="AY278" s="35"/>
      <c r="AZ278" s="35"/>
      <c r="BA278" s="22"/>
      <c r="BB278" s="22"/>
      <c r="BC278" s="23"/>
      <c r="BD278" s="22"/>
      <c r="BE278" s="22"/>
      <c r="BF278" s="22"/>
      <c r="BG278" s="22"/>
      <c r="BH278" s="22"/>
      <c r="BI278" s="22"/>
      <c r="BJ278" s="22"/>
      <c r="BK278" s="22"/>
      <c r="BL278" s="22"/>
      <c r="BM278" s="22"/>
    </row>
    <row r="279" spans="2:65">
      <c r="B279" s="20"/>
      <c r="D279" s="19"/>
      <c r="E279" s="22"/>
      <c r="F279" s="22"/>
      <c r="G279" s="22"/>
      <c r="H279" s="22"/>
      <c r="I279" s="23"/>
      <c r="J279" s="24"/>
      <c r="K279" s="23"/>
      <c r="L279" s="24"/>
      <c r="M279" s="23"/>
      <c r="N279" s="24"/>
      <c r="O279" s="23"/>
      <c r="P279" s="24"/>
      <c r="Q279" s="23"/>
      <c r="R279" s="23"/>
      <c r="S279" s="23"/>
      <c r="T279" s="23"/>
      <c r="U279" s="23"/>
      <c r="V279" s="23"/>
      <c r="W279" s="23"/>
      <c r="X279" s="23"/>
      <c r="AO279" s="34"/>
      <c r="AP279" s="22"/>
      <c r="AQ279" s="22"/>
      <c r="AR279" s="22"/>
      <c r="AS279" s="34"/>
      <c r="AT279" s="34"/>
      <c r="AV279" s="34"/>
      <c r="AX279" s="35"/>
      <c r="AY279" s="35"/>
      <c r="AZ279" s="35"/>
      <c r="BA279" s="22"/>
      <c r="BB279" s="22"/>
      <c r="BC279" s="23"/>
      <c r="BD279" s="22"/>
      <c r="BE279" s="22"/>
      <c r="BF279" s="22"/>
      <c r="BG279" s="22"/>
      <c r="BH279" s="22"/>
      <c r="BI279" s="22"/>
      <c r="BJ279" s="22"/>
      <c r="BK279" s="22"/>
      <c r="BL279" s="22"/>
      <c r="BM279" s="22"/>
    </row>
    <row r="280" spans="2:65">
      <c r="B280" s="20"/>
      <c r="D280" s="19"/>
      <c r="E280" s="22"/>
      <c r="F280" s="22"/>
      <c r="G280" s="22"/>
      <c r="H280" s="22"/>
      <c r="I280" s="23"/>
      <c r="J280" s="24"/>
      <c r="K280" s="23"/>
      <c r="L280" s="24"/>
      <c r="M280" s="23"/>
      <c r="N280" s="24"/>
      <c r="O280" s="23"/>
      <c r="P280" s="24"/>
      <c r="Q280" s="23"/>
      <c r="R280" s="23"/>
      <c r="S280" s="23"/>
      <c r="T280" s="23"/>
      <c r="U280" s="23"/>
      <c r="V280" s="23"/>
      <c r="W280" s="23"/>
      <c r="X280" s="23"/>
      <c r="AO280" s="34"/>
      <c r="AP280" s="22"/>
      <c r="AQ280" s="22"/>
      <c r="AR280" s="22"/>
      <c r="AS280" s="34"/>
      <c r="AT280" s="34"/>
      <c r="AV280" s="34"/>
      <c r="AX280" s="35"/>
      <c r="AY280" s="35"/>
      <c r="AZ280" s="35"/>
      <c r="BA280" s="22"/>
      <c r="BB280" s="22"/>
      <c r="BC280" s="23"/>
      <c r="BD280" s="22"/>
      <c r="BE280" s="22"/>
      <c r="BF280" s="22"/>
      <c r="BG280" s="22"/>
      <c r="BH280" s="22"/>
      <c r="BI280" s="22"/>
      <c r="BJ280" s="22"/>
      <c r="BK280" s="22"/>
      <c r="BL280" s="22"/>
      <c r="BM280" s="22"/>
    </row>
    <row r="281" spans="2:65">
      <c r="B281" s="20"/>
      <c r="D281" s="19"/>
      <c r="E281" s="22"/>
      <c r="F281" s="22"/>
      <c r="G281" s="22"/>
      <c r="H281" s="22"/>
      <c r="I281" s="23"/>
      <c r="J281" s="24"/>
      <c r="K281" s="23"/>
      <c r="L281" s="24"/>
      <c r="M281" s="23"/>
      <c r="N281" s="24"/>
      <c r="O281" s="23"/>
      <c r="P281" s="24"/>
      <c r="Q281" s="23"/>
      <c r="R281" s="23"/>
      <c r="S281" s="23"/>
      <c r="T281" s="23"/>
      <c r="U281" s="23"/>
      <c r="V281" s="23"/>
      <c r="W281" s="23"/>
      <c r="X281" s="23"/>
      <c r="AO281" s="34"/>
      <c r="AP281" s="22"/>
      <c r="AQ281" s="22"/>
      <c r="AR281" s="22"/>
      <c r="AS281" s="34"/>
      <c r="AT281" s="34"/>
      <c r="AV281" s="34"/>
      <c r="AX281" s="35"/>
      <c r="AY281" s="35"/>
      <c r="AZ281" s="35"/>
      <c r="BA281" s="22"/>
      <c r="BB281" s="22"/>
      <c r="BC281" s="23"/>
      <c r="BD281" s="22"/>
      <c r="BE281" s="22"/>
      <c r="BF281" s="22"/>
      <c r="BG281" s="22"/>
      <c r="BH281" s="22"/>
      <c r="BI281" s="22"/>
      <c r="BJ281" s="22"/>
      <c r="BK281" s="22"/>
      <c r="BL281" s="22"/>
      <c r="BM281" s="22"/>
    </row>
    <row r="282" spans="2:65">
      <c r="B282" s="20"/>
      <c r="D282" s="19"/>
      <c r="E282" s="22"/>
      <c r="F282" s="22"/>
      <c r="G282" s="22"/>
      <c r="H282" s="22"/>
      <c r="I282" s="23"/>
      <c r="J282" s="24"/>
      <c r="K282" s="23"/>
      <c r="L282" s="24"/>
      <c r="M282" s="23"/>
      <c r="N282" s="24"/>
      <c r="O282" s="23"/>
      <c r="P282" s="24"/>
      <c r="Q282" s="23"/>
      <c r="R282" s="23"/>
      <c r="S282" s="23"/>
      <c r="T282" s="23"/>
      <c r="U282" s="23"/>
      <c r="V282" s="23"/>
      <c r="W282" s="23"/>
      <c r="X282" s="23"/>
      <c r="AO282" s="34"/>
      <c r="AP282" s="22"/>
      <c r="AQ282" s="22"/>
      <c r="AR282" s="22"/>
      <c r="AS282" s="34"/>
      <c r="AT282" s="34"/>
      <c r="AV282" s="34"/>
      <c r="AX282" s="35"/>
      <c r="AY282" s="35"/>
      <c r="AZ282" s="35"/>
      <c r="BA282" s="22"/>
      <c r="BB282" s="22"/>
      <c r="BC282" s="23"/>
      <c r="BD282" s="22"/>
      <c r="BE282" s="22"/>
      <c r="BF282" s="22"/>
      <c r="BG282" s="22"/>
      <c r="BH282" s="22"/>
      <c r="BI282" s="22"/>
      <c r="BJ282" s="22"/>
      <c r="BK282" s="22"/>
      <c r="BL282" s="22"/>
      <c r="BM282" s="22"/>
    </row>
    <row r="283" spans="2:65">
      <c r="B283" s="20"/>
      <c r="D283" s="19"/>
      <c r="E283" s="22"/>
      <c r="F283" s="22"/>
      <c r="G283" s="22"/>
      <c r="H283" s="22"/>
      <c r="I283" s="23"/>
      <c r="J283" s="24"/>
      <c r="K283" s="23"/>
      <c r="L283" s="24"/>
      <c r="M283" s="23"/>
      <c r="N283" s="24"/>
      <c r="O283" s="23"/>
      <c r="P283" s="24"/>
      <c r="Q283" s="23"/>
      <c r="R283" s="23"/>
      <c r="S283" s="23"/>
      <c r="T283" s="23"/>
      <c r="U283" s="23"/>
      <c r="V283" s="23"/>
      <c r="W283" s="23"/>
      <c r="X283" s="23"/>
      <c r="AO283" s="34"/>
      <c r="AP283" s="22"/>
      <c r="AQ283" s="22"/>
      <c r="AR283" s="22"/>
      <c r="AS283" s="34"/>
      <c r="AT283" s="34"/>
      <c r="AV283" s="34"/>
      <c r="AX283" s="35"/>
      <c r="AY283" s="35"/>
      <c r="AZ283" s="35"/>
      <c r="BA283" s="22"/>
      <c r="BB283" s="22"/>
      <c r="BC283" s="23"/>
      <c r="BD283" s="22"/>
      <c r="BE283" s="22"/>
      <c r="BF283" s="22"/>
      <c r="BG283" s="22"/>
      <c r="BH283" s="22"/>
      <c r="BI283" s="22"/>
      <c r="BJ283" s="22"/>
      <c r="BK283" s="22"/>
      <c r="BL283" s="22"/>
      <c r="BM283" s="22"/>
    </row>
    <row r="284" spans="2:65">
      <c r="B284" s="20"/>
      <c r="D284" s="19"/>
      <c r="E284" s="22"/>
      <c r="F284" s="22"/>
      <c r="G284" s="22"/>
      <c r="H284" s="22"/>
      <c r="I284" s="23"/>
      <c r="J284" s="24"/>
      <c r="K284" s="23"/>
      <c r="L284" s="24"/>
      <c r="M284" s="23"/>
      <c r="N284" s="24"/>
      <c r="O284" s="23"/>
      <c r="P284" s="24"/>
      <c r="Q284" s="23"/>
      <c r="R284" s="23"/>
      <c r="S284" s="23"/>
      <c r="T284" s="23"/>
      <c r="U284" s="23"/>
      <c r="V284" s="23"/>
      <c r="W284" s="23"/>
      <c r="X284" s="23"/>
      <c r="AO284" s="34"/>
      <c r="AP284" s="22"/>
      <c r="AQ284" s="22"/>
      <c r="AR284" s="22"/>
      <c r="AS284" s="34"/>
      <c r="AT284" s="34"/>
      <c r="AV284" s="34"/>
      <c r="AX284" s="35"/>
      <c r="AY284" s="35"/>
      <c r="AZ284" s="35"/>
      <c r="BA284" s="22"/>
      <c r="BB284" s="22"/>
      <c r="BC284" s="23"/>
      <c r="BD284" s="22"/>
      <c r="BE284" s="22"/>
      <c r="BF284" s="22"/>
      <c r="BG284" s="22"/>
      <c r="BH284" s="22"/>
      <c r="BI284" s="22"/>
      <c r="BJ284" s="22"/>
      <c r="BK284" s="22"/>
      <c r="BL284" s="22"/>
      <c r="BM284" s="22"/>
    </row>
    <row r="285" spans="2:65">
      <c r="B285" s="20"/>
      <c r="D285" s="19"/>
      <c r="E285" s="22"/>
      <c r="F285" s="22"/>
      <c r="G285" s="22"/>
      <c r="H285" s="22"/>
      <c r="I285" s="23"/>
      <c r="J285" s="24"/>
      <c r="K285" s="23"/>
      <c r="L285" s="24"/>
      <c r="M285" s="23"/>
      <c r="N285" s="24"/>
      <c r="O285" s="23"/>
      <c r="P285" s="24"/>
      <c r="Q285" s="23"/>
      <c r="R285" s="23"/>
      <c r="S285" s="23"/>
      <c r="T285" s="23"/>
      <c r="U285" s="23"/>
      <c r="V285" s="23"/>
      <c r="W285" s="23"/>
      <c r="X285" s="23"/>
      <c r="AO285" s="34"/>
      <c r="AP285" s="22"/>
      <c r="AQ285" s="22"/>
      <c r="AR285" s="22"/>
      <c r="AS285" s="34"/>
      <c r="AT285" s="34"/>
      <c r="AV285" s="34"/>
      <c r="AX285" s="35"/>
      <c r="AY285" s="35"/>
      <c r="AZ285" s="35"/>
      <c r="BA285" s="22"/>
      <c r="BB285" s="22"/>
      <c r="BC285" s="23"/>
      <c r="BD285" s="22"/>
      <c r="BE285" s="22"/>
      <c r="BF285" s="22"/>
      <c r="BG285" s="22"/>
      <c r="BH285" s="22"/>
      <c r="BI285" s="22"/>
      <c r="BJ285" s="22"/>
      <c r="BK285" s="22"/>
      <c r="BL285" s="22"/>
      <c r="BM285" s="22"/>
    </row>
    <row r="286" spans="2:65">
      <c r="B286" s="20"/>
      <c r="D286" s="19"/>
      <c r="E286" s="22"/>
      <c r="F286" s="22"/>
      <c r="G286" s="22"/>
      <c r="H286" s="22"/>
      <c r="I286" s="23"/>
      <c r="J286" s="24"/>
      <c r="K286" s="23"/>
      <c r="L286" s="24"/>
      <c r="M286" s="23"/>
      <c r="N286" s="24"/>
      <c r="O286" s="23"/>
      <c r="P286" s="24"/>
      <c r="Q286" s="23"/>
      <c r="R286" s="23"/>
      <c r="S286" s="23"/>
      <c r="T286" s="23"/>
      <c r="U286" s="23"/>
      <c r="V286" s="23"/>
      <c r="W286" s="23"/>
      <c r="X286" s="23"/>
      <c r="AO286" s="34"/>
      <c r="AP286" s="22"/>
      <c r="AQ286" s="22"/>
      <c r="AR286" s="22"/>
      <c r="AS286" s="34"/>
      <c r="AT286" s="34"/>
      <c r="AV286" s="34"/>
      <c r="AX286" s="35"/>
      <c r="AY286" s="35"/>
      <c r="AZ286" s="35"/>
      <c r="BA286" s="22"/>
      <c r="BB286" s="22"/>
      <c r="BC286" s="23"/>
      <c r="BD286" s="22"/>
      <c r="BE286" s="22"/>
      <c r="BF286" s="22"/>
      <c r="BG286" s="22"/>
      <c r="BH286" s="22"/>
      <c r="BI286" s="22"/>
      <c r="BJ286" s="22"/>
      <c r="BK286" s="22"/>
      <c r="BL286" s="22"/>
      <c r="BM286" s="22"/>
    </row>
    <row r="287" spans="2:65">
      <c r="B287" s="20"/>
      <c r="D287" s="19"/>
      <c r="E287" s="22"/>
      <c r="F287" s="22"/>
      <c r="G287" s="22"/>
      <c r="H287" s="22"/>
      <c r="I287" s="23"/>
      <c r="J287" s="24"/>
      <c r="K287" s="23"/>
      <c r="L287" s="24"/>
      <c r="M287" s="23"/>
      <c r="N287" s="24"/>
      <c r="O287" s="23"/>
      <c r="P287" s="24"/>
      <c r="Q287" s="23"/>
      <c r="R287" s="23"/>
      <c r="S287" s="23"/>
      <c r="T287" s="23"/>
      <c r="U287" s="23"/>
      <c r="V287" s="23"/>
      <c r="W287" s="23"/>
      <c r="X287" s="23"/>
      <c r="AO287" s="34"/>
      <c r="AP287" s="22"/>
      <c r="AQ287" s="22"/>
      <c r="AR287" s="22"/>
      <c r="AS287" s="34"/>
      <c r="AT287" s="34"/>
      <c r="AV287" s="34"/>
      <c r="AX287" s="35"/>
      <c r="AY287" s="35"/>
      <c r="AZ287" s="35"/>
      <c r="BA287" s="22"/>
      <c r="BB287" s="22"/>
      <c r="BC287" s="23"/>
      <c r="BD287" s="22"/>
      <c r="BE287" s="22"/>
      <c r="BF287" s="22"/>
      <c r="BG287" s="22"/>
      <c r="BH287" s="22"/>
      <c r="BI287" s="22"/>
      <c r="BJ287" s="22"/>
      <c r="BK287" s="22"/>
      <c r="BL287" s="22"/>
      <c r="BM287" s="22"/>
    </row>
    <row r="288" spans="2:65">
      <c r="B288" s="20"/>
      <c r="D288" s="19"/>
      <c r="E288" s="22"/>
      <c r="F288" s="22"/>
      <c r="G288" s="22"/>
      <c r="H288" s="22"/>
      <c r="I288" s="23"/>
      <c r="J288" s="24"/>
      <c r="K288" s="23"/>
      <c r="L288" s="24"/>
      <c r="M288" s="23"/>
      <c r="N288" s="24"/>
      <c r="O288" s="23"/>
      <c r="P288" s="24"/>
      <c r="Q288" s="23"/>
      <c r="R288" s="23"/>
      <c r="S288" s="23"/>
      <c r="T288" s="23"/>
      <c r="U288" s="23"/>
      <c r="V288" s="23"/>
      <c r="W288" s="23"/>
      <c r="X288" s="23"/>
      <c r="AO288" s="34"/>
      <c r="AP288" s="22"/>
      <c r="AQ288" s="22"/>
      <c r="AR288" s="22"/>
      <c r="AS288" s="34"/>
      <c r="AT288" s="34"/>
      <c r="AV288" s="34"/>
      <c r="AX288" s="35"/>
      <c r="AY288" s="35"/>
      <c r="AZ288" s="35"/>
      <c r="BA288" s="22"/>
      <c r="BB288" s="22"/>
      <c r="BC288" s="23"/>
      <c r="BD288" s="22"/>
      <c r="BE288" s="22"/>
      <c r="BF288" s="22"/>
      <c r="BG288" s="22"/>
      <c r="BH288" s="22"/>
      <c r="BI288" s="22"/>
      <c r="BJ288" s="22"/>
      <c r="BK288" s="22"/>
      <c r="BL288" s="22"/>
      <c r="BM288" s="22"/>
    </row>
    <row r="289" spans="2:65">
      <c r="B289" s="20"/>
      <c r="D289" s="19"/>
      <c r="E289" s="22"/>
      <c r="F289" s="22"/>
      <c r="G289" s="22"/>
      <c r="H289" s="22"/>
      <c r="I289" s="23"/>
      <c r="J289" s="24"/>
      <c r="K289" s="23"/>
      <c r="L289" s="24"/>
      <c r="M289" s="23"/>
      <c r="N289" s="24"/>
      <c r="O289" s="23"/>
      <c r="P289" s="24"/>
      <c r="Q289" s="23"/>
      <c r="R289" s="23"/>
      <c r="S289" s="23"/>
      <c r="T289" s="23"/>
      <c r="U289" s="23"/>
      <c r="V289" s="23"/>
      <c r="W289" s="23"/>
      <c r="X289" s="23"/>
      <c r="AO289" s="34"/>
      <c r="AP289" s="22"/>
      <c r="AQ289" s="22"/>
      <c r="AR289" s="22"/>
      <c r="AS289" s="34"/>
      <c r="AT289" s="34"/>
      <c r="AV289" s="34"/>
      <c r="AX289" s="35"/>
      <c r="AY289" s="35"/>
      <c r="AZ289" s="35"/>
      <c r="BA289" s="22"/>
      <c r="BB289" s="22"/>
      <c r="BC289" s="23"/>
      <c r="BD289" s="22"/>
      <c r="BE289" s="22"/>
      <c r="BF289" s="22"/>
      <c r="BG289" s="22"/>
      <c r="BH289" s="22"/>
      <c r="BI289" s="22"/>
      <c r="BJ289" s="22"/>
      <c r="BK289" s="22"/>
      <c r="BL289" s="22"/>
      <c r="BM289" s="22"/>
    </row>
    <row r="290" spans="2:65">
      <c r="B290" s="20"/>
      <c r="D290" s="19"/>
      <c r="E290" s="22"/>
      <c r="F290" s="22"/>
      <c r="G290" s="22"/>
      <c r="H290" s="22"/>
      <c r="I290" s="23"/>
      <c r="J290" s="24"/>
      <c r="K290" s="23"/>
      <c r="L290" s="24"/>
      <c r="M290" s="23"/>
      <c r="N290" s="24"/>
      <c r="O290" s="23"/>
      <c r="P290" s="24"/>
      <c r="Q290" s="23"/>
      <c r="R290" s="23"/>
      <c r="S290" s="23"/>
      <c r="T290" s="23"/>
      <c r="U290" s="23"/>
      <c r="V290" s="23"/>
      <c r="W290" s="23"/>
      <c r="X290" s="23"/>
      <c r="AO290" s="34"/>
      <c r="AP290" s="22"/>
      <c r="AQ290" s="22"/>
      <c r="AR290" s="22"/>
      <c r="AS290" s="34"/>
      <c r="AT290" s="34"/>
      <c r="AV290" s="34"/>
      <c r="AX290" s="35"/>
      <c r="AY290" s="35"/>
      <c r="AZ290" s="35"/>
      <c r="BA290" s="22"/>
      <c r="BB290" s="22"/>
      <c r="BC290" s="23"/>
      <c r="BD290" s="22"/>
      <c r="BE290" s="22"/>
      <c r="BF290" s="22"/>
      <c r="BG290" s="22"/>
      <c r="BH290" s="22"/>
      <c r="BI290" s="22"/>
      <c r="BJ290" s="22"/>
      <c r="BK290" s="22"/>
      <c r="BL290" s="22"/>
      <c r="BM290" s="22"/>
    </row>
    <row r="291" spans="2:65">
      <c r="B291" s="20"/>
      <c r="D291" s="19"/>
      <c r="E291" s="22"/>
      <c r="F291" s="22"/>
      <c r="G291" s="22"/>
      <c r="H291" s="22"/>
      <c r="I291" s="23"/>
      <c r="J291" s="24"/>
      <c r="K291" s="23"/>
      <c r="L291" s="24"/>
      <c r="M291" s="23"/>
      <c r="N291" s="24"/>
      <c r="O291" s="23"/>
      <c r="P291" s="24"/>
      <c r="Q291" s="23"/>
      <c r="R291" s="23"/>
      <c r="S291" s="23"/>
      <c r="T291" s="23"/>
      <c r="U291" s="23"/>
      <c r="V291" s="23"/>
      <c r="W291" s="23"/>
      <c r="X291" s="23"/>
      <c r="AO291" s="34"/>
      <c r="AP291" s="22"/>
      <c r="AQ291" s="22"/>
      <c r="AR291" s="22"/>
      <c r="AS291" s="34"/>
      <c r="AT291" s="34"/>
      <c r="AV291" s="34"/>
      <c r="AX291" s="35"/>
      <c r="AY291" s="35"/>
      <c r="AZ291" s="35"/>
      <c r="BA291" s="22"/>
      <c r="BB291" s="22"/>
      <c r="BC291" s="23"/>
      <c r="BD291" s="22"/>
      <c r="BE291" s="22"/>
      <c r="BF291" s="22"/>
      <c r="BG291" s="22"/>
      <c r="BH291" s="22"/>
      <c r="BI291" s="22"/>
      <c r="BJ291" s="22"/>
      <c r="BK291" s="22"/>
      <c r="BL291" s="22"/>
      <c r="BM291" s="22"/>
    </row>
    <row r="292" spans="2:65">
      <c r="B292" s="20"/>
      <c r="D292" s="19"/>
      <c r="E292" s="22"/>
      <c r="F292" s="22"/>
      <c r="G292" s="22"/>
      <c r="H292" s="22"/>
      <c r="I292" s="23"/>
      <c r="J292" s="24"/>
      <c r="K292" s="23"/>
      <c r="L292" s="24"/>
      <c r="M292" s="23"/>
      <c r="N292" s="24"/>
      <c r="O292" s="23"/>
      <c r="P292" s="24"/>
      <c r="Q292" s="23"/>
      <c r="R292" s="23"/>
      <c r="S292" s="23"/>
      <c r="T292" s="23"/>
      <c r="U292" s="23"/>
      <c r="V292" s="23"/>
      <c r="W292" s="23"/>
      <c r="X292" s="23"/>
      <c r="AO292" s="34"/>
      <c r="AP292" s="22"/>
      <c r="AQ292" s="22"/>
      <c r="AR292" s="22"/>
      <c r="AS292" s="34"/>
      <c r="AT292" s="34"/>
      <c r="AV292" s="34"/>
      <c r="AX292" s="35"/>
      <c r="AY292" s="35"/>
      <c r="AZ292" s="35"/>
      <c r="BA292" s="22"/>
      <c r="BB292" s="22"/>
      <c r="BC292" s="23"/>
      <c r="BD292" s="22"/>
      <c r="BE292" s="22"/>
      <c r="BF292" s="22"/>
      <c r="BG292" s="22"/>
      <c r="BH292" s="22"/>
      <c r="BI292" s="22"/>
      <c r="BJ292" s="22"/>
      <c r="BK292" s="22"/>
      <c r="BL292" s="22"/>
      <c r="BM292" s="22"/>
    </row>
    <row r="293" spans="2:65">
      <c r="B293" s="20"/>
      <c r="D293" s="19"/>
      <c r="E293" s="22"/>
      <c r="F293" s="22"/>
      <c r="G293" s="22"/>
      <c r="H293" s="22"/>
      <c r="I293" s="23"/>
      <c r="J293" s="24"/>
      <c r="K293" s="23"/>
      <c r="L293" s="24"/>
      <c r="M293" s="23"/>
      <c r="N293" s="24"/>
      <c r="O293" s="23"/>
      <c r="P293" s="24"/>
      <c r="Q293" s="23"/>
      <c r="R293" s="23"/>
      <c r="S293" s="23"/>
      <c r="T293" s="23"/>
      <c r="U293" s="23"/>
      <c r="V293" s="23"/>
      <c r="W293" s="23"/>
      <c r="X293" s="23"/>
      <c r="AO293" s="34"/>
      <c r="AP293" s="22"/>
      <c r="AQ293" s="22"/>
      <c r="AR293" s="22"/>
      <c r="AS293" s="34"/>
      <c r="AT293" s="34"/>
      <c r="AV293" s="34"/>
      <c r="AX293" s="35"/>
      <c r="AY293" s="35"/>
      <c r="AZ293" s="35"/>
      <c r="BA293" s="22"/>
      <c r="BB293" s="22"/>
      <c r="BC293" s="23"/>
      <c r="BD293" s="22"/>
      <c r="BE293" s="22"/>
      <c r="BF293" s="22"/>
      <c r="BG293" s="22"/>
      <c r="BH293" s="22"/>
      <c r="BI293" s="22"/>
      <c r="BJ293" s="22"/>
      <c r="BK293" s="22"/>
      <c r="BL293" s="22"/>
      <c r="BM293" s="22"/>
    </row>
    <row r="294" spans="2:65">
      <c r="B294" s="20"/>
      <c r="D294" s="19"/>
      <c r="E294" s="22"/>
      <c r="F294" s="22"/>
      <c r="G294" s="22"/>
      <c r="H294" s="22"/>
      <c r="I294" s="23"/>
      <c r="J294" s="24"/>
      <c r="K294" s="23"/>
      <c r="L294" s="24"/>
      <c r="M294" s="23"/>
      <c r="N294" s="24"/>
      <c r="O294" s="23"/>
      <c r="P294" s="24"/>
      <c r="Q294" s="23"/>
      <c r="R294" s="23"/>
      <c r="S294" s="23"/>
      <c r="T294" s="23"/>
      <c r="U294" s="23"/>
      <c r="V294" s="23"/>
      <c r="W294" s="23"/>
      <c r="X294" s="23"/>
      <c r="AO294" s="34"/>
      <c r="AP294" s="22"/>
      <c r="AQ294" s="22"/>
      <c r="AR294" s="22"/>
      <c r="AS294" s="34"/>
      <c r="AT294" s="34"/>
      <c r="AV294" s="34"/>
      <c r="AX294" s="35"/>
      <c r="AY294" s="35"/>
      <c r="AZ294" s="35"/>
      <c r="BA294" s="22"/>
      <c r="BB294" s="22"/>
      <c r="BC294" s="23"/>
      <c r="BD294" s="22"/>
      <c r="BE294" s="22"/>
      <c r="BF294" s="22"/>
      <c r="BG294" s="22"/>
      <c r="BH294" s="22"/>
      <c r="BI294" s="22"/>
      <c r="BJ294" s="22"/>
      <c r="BK294" s="22"/>
      <c r="BL294" s="22"/>
      <c r="BM294" s="22"/>
    </row>
    <row r="295" spans="2:65">
      <c r="B295" s="20"/>
      <c r="D295" s="19"/>
      <c r="E295" s="22"/>
      <c r="F295" s="22"/>
      <c r="G295" s="22"/>
      <c r="H295" s="22"/>
      <c r="I295" s="23"/>
      <c r="J295" s="24"/>
      <c r="K295" s="23"/>
      <c r="L295" s="24"/>
      <c r="M295" s="23"/>
      <c r="N295" s="24"/>
      <c r="O295" s="23"/>
      <c r="P295" s="24"/>
      <c r="Q295" s="23"/>
      <c r="R295" s="23"/>
      <c r="S295" s="23"/>
      <c r="T295" s="23"/>
      <c r="U295" s="23"/>
      <c r="V295" s="23"/>
      <c r="W295" s="23"/>
      <c r="X295" s="23"/>
      <c r="AO295" s="34"/>
      <c r="AP295" s="22"/>
      <c r="AQ295" s="22"/>
      <c r="AR295" s="22"/>
      <c r="AS295" s="34"/>
      <c r="AT295" s="34"/>
      <c r="AV295" s="34"/>
      <c r="AX295" s="35"/>
      <c r="AY295" s="35"/>
      <c r="AZ295" s="35"/>
      <c r="BA295" s="22"/>
      <c r="BB295" s="22"/>
      <c r="BC295" s="23"/>
      <c r="BD295" s="22"/>
      <c r="BE295" s="22"/>
      <c r="BF295" s="22"/>
      <c r="BG295" s="22"/>
      <c r="BH295" s="22"/>
      <c r="BI295" s="22"/>
      <c r="BJ295" s="22"/>
      <c r="BK295" s="22"/>
      <c r="BL295" s="22"/>
      <c r="BM295" s="22"/>
    </row>
    <row r="296" spans="2:65">
      <c r="B296" s="20"/>
      <c r="D296" s="19"/>
      <c r="E296" s="22"/>
      <c r="F296" s="22"/>
      <c r="G296" s="22"/>
      <c r="H296" s="22"/>
      <c r="I296" s="23"/>
      <c r="J296" s="24"/>
      <c r="K296" s="23"/>
      <c r="L296" s="24"/>
      <c r="M296" s="23"/>
      <c r="N296" s="24"/>
      <c r="O296" s="23"/>
      <c r="P296" s="24"/>
      <c r="Q296" s="23"/>
      <c r="R296" s="23"/>
      <c r="S296" s="23"/>
      <c r="T296" s="23"/>
      <c r="U296" s="23"/>
      <c r="V296" s="23"/>
      <c r="W296" s="23"/>
      <c r="X296" s="23"/>
      <c r="AO296" s="34"/>
      <c r="AP296" s="22"/>
      <c r="AQ296" s="22"/>
      <c r="AR296" s="22"/>
      <c r="AS296" s="34"/>
      <c r="AT296" s="34"/>
      <c r="AV296" s="34"/>
      <c r="AX296" s="35"/>
      <c r="AY296" s="35"/>
      <c r="AZ296" s="35"/>
      <c r="BA296" s="22"/>
      <c r="BB296" s="22"/>
      <c r="BC296" s="23"/>
      <c r="BD296" s="22"/>
      <c r="BE296" s="22"/>
      <c r="BF296" s="22"/>
      <c r="BG296" s="22"/>
      <c r="BH296" s="22"/>
      <c r="BI296" s="22"/>
      <c r="BJ296" s="22"/>
      <c r="BK296" s="22"/>
      <c r="BL296" s="22"/>
      <c r="BM296" s="22"/>
    </row>
    <row r="297" spans="2:65">
      <c r="B297" s="20"/>
      <c r="D297" s="19"/>
      <c r="E297" s="22"/>
      <c r="F297" s="22"/>
      <c r="G297" s="22"/>
      <c r="H297" s="22"/>
      <c r="I297" s="23"/>
      <c r="J297" s="24"/>
      <c r="K297" s="23"/>
      <c r="L297" s="24"/>
      <c r="M297" s="23"/>
      <c r="N297" s="24"/>
      <c r="O297" s="23"/>
      <c r="P297" s="24"/>
      <c r="Q297" s="23"/>
      <c r="R297" s="23"/>
      <c r="S297" s="23"/>
      <c r="T297" s="23"/>
      <c r="U297" s="23"/>
      <c r="V297" s="23"/>
      <c r="W297" s="23"/>
      <c r="X297" s="23"/>
      <c r="AO297" s="34"/>
      <c r="AP297" s="22"/>
      <c r="AQ297" s="22"/>
      <c r="AR297" s="22"/>
      <c r="AS297" s="34"/>
      <c r="AT297" s="34"/>
      <c r="AV297" s="34"/>
      <c r="AX297" s="35"/>
      <c r="AY297" s="35"/>
      <c r="AZ297" s="35"/>
      <c r="BA297" s="22"/>
      <c r="BB297" s="22"/>
      <c r="BC297" s="23"/>
      <c r="BD297" s="22"/>
      <c r="BE297" s="22"/>
      <c r="BF297" s="22"/>
      <c r="BG297" s="22"/>
      <c r="BH297" s="22"/>
      <c r="BI297" s="22"/>
      <c r="BJ297" s="22"/>
      <c r="BK297" s="22"/>
      <c r="BL297" s="22"/>
      <c r="BM297" s="22"/>
    </row>
    <row r="298" spans="2:65">
      <c r="B298" s="20"/>
      <c r="D298" s="19"/>
      <c r="E298" s="22"/>
      <c r="F298" s="22"/>
      <c r="G298" s="22"/>
      <c r="H298" s="22"/>
      <c r="I298" s="23"/>
      <c r="J298" s="24"/>
      <c r="K298" s="23"/>
      <c r="L298" s="24"/>
      <c r="M298" s="23"/>
      <c r="N298" s="24"/>
      <c r="O298" s="23"/>
      <c r="P298" s="24"/>
      <c r="Q298" s="23"/>
      <c r="R298" s="23"/>
      <c r="S298" s="23"/>
      <c r="T298" s="23"/>
      <c r="U298" s="23"/>
      <c r="V298" s="23"/>
      <c r="W298" s="23"/>
      <c r="X298" s="23"/>
      <c r="AO298" s="34"/>
      <c r="AP298" s="22"/>
      <c r="AQ298" s="22"/>
      <c r="AR298" s="22"/>
      <c r="AS298" s="34"/>
      <c r="AT298" s="34"/>
      <c r="AV298" s="34"/>
      <c r="AX298" s="35"/>
      <c r="AY298" s="35"/>
      <c r="AZ298" s="35"/>
      <c r="BA298" s="22"/>
      <c r="BB298" s="22"/>
      <c r="BC298" s="23"/>
      <c r="BD298" s="22"/>
      <c r="BE298" s="22"/>
      <c r="BF298" s="22"/>
      <c r="BG298" s="22"/>
      <c r="BH298" s="22"/>
      <c r="BI298" s="22"/>
      <c r="BJ298" s="22"/>
      <c r="BK298" s="22"/>
      <c r="BL298" s="22"/>
      <c r="BM298" s="22"/>
    </row>
    <row r="299" spans="2:65">
      <c r="B299" s="20"/>
      <c r="D299" s="19"/>
      <c r="E299" s="22"/>
      <c r="F299" s="22"/>
      <c r="G299" s="22"/>
      <c r="H299" s="22"/>
      <c r="I299" s="23"/>
      <c r="J299" s="24"/>
      <c r="K299" s="23"/>
      <c r="L299" s="24"/>
      <c r="M299" s="23"/>
      <c r="N299" s="24"/>
      <c r="O299" s="23"/>
      <c r="P299" s="24"/>
      <c r="Q299" s="23"/>
      <c r="R299" s="23"/>
      <c r="S299" s="23"/>
      <c r="T299" s="23"/>
      <c r="U299" s="23"/>
      <c r="V299" s="23"/>
      <c r="W299" s="23"/>
      <c r="X299" s="23"/>
      <c r="AO299" s="34"/>
      <c r="AP299" s="22"/>
      <c r="AQ299" s="22"/>
      <c r="AR299" s="22"/>
      <c r="AS299" s="34"/>
      <c r="AT299" s="34"/>
      <c r="AV299" s="34"/>
      <c r="AX299" s="35"/>
      <c r="AY299" s="35"/>
      <c r="AZ299" s="35"/>
      <c r="BA299" s="22"/>
      <c r="BB299" s="22"/>
      <c r="BC299" s="23"/>
      <c r="BD299" s="22"/>
      <c r="BE299" s="22"/>
      <c r="BF299" s="22"/>
      <c r="BG299" s="22"/>
      <c r="BH299" s="22"/>
      <c r="BI299" s="22"/>
      <c r="BJ299" s="22"/>
      <c r="BK299" s="22"/>
      <c r="BL299" s="22"/>
      <c r="BM299" s="22"/>
    </row>
    <row r="300" spans="2:65">
      <c r="B300" s="20"/>
      <c r="D300" s="19"/>
      <c r="E300" s="22"/>
      <c r="F300" s="22"/>
      <c r="G300" s="22"/>
      <c r="H300" s="22"/>
      <c r="I300" s="23"/>
      <c r="J300" s="24"/>
      <c r="K300" s="23"/>
      <c r="L300" s="24"/>
      <c r="M300" s="23"/>
      <c r="N300" s="24"/>
      <c r="O300" s="23"/>
      <c r="P300" s="24"/>
      <c r="Q300" s="23"/>
      <c r="R300" s="23"/>
      <c r="S300" s="23"/>
      <c r="T300" s="23"/>
      <c r="U300" s="23"/>
      <c r="V300" s="23"/>
      <c r="W300" s="23"/>
      <c r="X300" s="23"/>
      <c r="AO300" s="34"/>
      <c r="AP300" s="22"/>
      <c r="AQ300" s="22"/>
      <c r="AR300" s="22"/>
      <c r="AS300" s="34"/>
      <c r="AT300" s="34"/>
      <c r="AV300" s="34"/>
      <c r="AX300" s="35"/>
      <c r="AY300" s="35"/>
      <c r="AZ300" s="35"/>
      <c r="BA300" s="22"/>
      <c r="BB300" s="22"/>
      <c r="BC300" s="23"/>
      <c r="BD300" s="22"/>
      <c r="BE300" s="22"/>
      <c r="BF300" s="22"/>
      <c r="BG300" s="22"/>
      <c r="BH300" s="22"/>
      <c r="BI300" s="22"/>
      <c r="BJ300" s="22"/>
      <c r="BK300" s="22"/>
      <c r="BL300" s="22"/>
      <c r="BM300" s="22"/>
    </row>
    <row r="301" spans="2:65">
      <c r="B301" s="20"/>
      <c r="D301" s="19"/>
      <c r="E301" s="22"/>
      <c r="F301" s="22"/>
      <c r="G301" s="22"/>
      <c r="H301" s="22"/>
      <c r="I301" s="23"/>
      <c r="J301" s="24"/>
      <c r="K301" s="23"/>
      <c r="L301" s="24"/>
      <c r="M301" s="23"/>
      <c r="N301" s="24"/>
      <c r="O301" s="23"/>
      <c r="P301" s="24"/>
      <c r="Q301" s="23"/>
      <c r="R301" s="23"/>
      <c r="S301" s="23"/>
      <c r="T301" s="23"/>
      <c r="U301" s="23"/>
      <c r="V301" s="23"/>
      <c r="W301" s="23"/>
      <c r="X301" s="23"/>
      <c r="AO301" s="34"/>
      <c r="AP301" s="22"/>
      <c r="AQ301" s="22"/>
      <c r="AR301" s="22"/>
      <c r="AS301" s="34"/>
      <c r="AT301" s="34"/>
      <c r="AV301" s="34"/>
      <c r="AX301" s="35"/>
      <c r="AY301" s="35"/>
      <c r="AZ301" s="35"/>
      <c r="BA301" s="22"/>
      <c r="BB301" s="22"/>
      <c r="BC301" s="23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</row>
    <row r="302" spans="2:65">
      <c r="B302" s="20"/>
      <c r="D302" s="19"/>
      <c r="E302" s="22"/>
      <c r="F302" s="22"/>
      <c r="G302" s="22"/>
      <c r="H302" s="22"/>
      <c r="I302" s="23"/>
      <c r="J302" s="24"/>
      <c r="K302" s="23"/>
      <c r="L302" s="24"/>
      <c r="M302" s="23"/>
      <c r="N302" s="24"/>
      <c r="O302" s="23"/>
      <c r="P302" s="24"/>
      <c r="Q302" s="23"/>
      <c r="R302" s="23"/>
      <c r="S302" s="23"/>
      <c r="T302" s="23"/>
      <c r="U302" s="23"/>
      <c r="V302" s="23"/>
      <c r="W302" s="23"/>
      <c r="X302" s="23"/>
      <c r="AO302" s="34"/>
      <c r="AP302" s="22"/>
      <c r="AQ302" s="22"/>
      <c r="AR302" s="22"/>
      <c r="AS302" s="34"/>
      <c r="AT302" s="34"/>
      <c r="AV302" s="34"/>
      <c r="AX302" s="35"/>
      <c r="AY302" s="35"/>
      <c r="AZ302" s="35"/>
      <c r="BA302" s="22"/>
      <c r="BB302" s="22"/>
      <c r="BC302" s="23"/>
      <c r="BD302" s="22"/>
      <c r="BE302" s="22"/>
      <c r="BF302" s="22"/>
      <c r="BG302" s="22"/>
      <c r="BH302" s="22"/>
      <c r="BI302" s="22"/>
      <c r="BJ302" s="22"/>
      <c r="BK302" s="22"/>
      <c r="BL302" s="22"/>
      <c r="BM302" s="22"/>
    </row>
    <row r="303" spans="2:65">
      <c r="B303" s="20"/>
      <c r="D303" s="19"/>
      <c r="E303" s="22"/>
      <c r="F303" s="22"/>
      <c r="G303" s="22"/>
      <c r="H303" s="22"/>
      <c r="I303" s="23"/>
      <c r="J303" s="24"/>
      <c r="K303" s="23"/>
      <c r="L303" s="24"/>
      <c r="M303" s="23"/>
      <c r="N303" s="24"/>
      <c r="O303" s="23"/>
      <c r="P303" s="24"/>
      <c r="Q303" s="23"/>
      <c r="R303" s="23"/>
      <c r="S303" s="23"/>
      <c r="T303" s="23"/>
      <c r="U303" s="23"/>
      <c r="V303" s="23"/>
      <c r="W303" s="23"/>
      <c r="X303" s="23"/>
      <c r="AO303" s="34"/>
      <c r="AP303" s="22"/>
      <c r="AQ303" s="22"/>
      <c r="AR303" s="22"/>
      <c r="AS303" s="34"/>
      <c r="AT303" s="34"/>
      <c r="AV303" s="34"/>
      <c r="AX303" s="35"/>
      <c r="AY303" s="35"/>
      <c r="AZ303" s="35"/>
      <c r="BA303" s="22"/>
      <c r="BB303" s="22"/>
      <c r="BC303" s="23"/>
      <c r="BD303" s="22"/>
      <c r="BE303" s="22"/>
      <c r="BF303" s="22"/>
      <c r="BG303" s="22"/>
      <c r="BH303" s="22"/>
      <c r="BI303" s="22"/>
      <c r="BJ303" s="22"/>
      <c r="BK303" s="22"/>
      <c r="BL303" s="22"/>
      <c r="BM303" s="22"/>
    </row>
    <row r="304" spans="2:65">
      <c r="B304" s="20"/>
      <c r="D304" s="19"/>
      <c r="E304" s="22"/>
      <c r="F304" s="22"/>
      <c r="G304" s="22"/>
      <c r="H304" s="22"/>
      <c r="I304" s="23"/>
      <c r="J304" s="24"/>
      <c r="K304" s="23"/>
      <c r="L304" s="24"/>
      <c r="M304" s="23"/>
      <c r="N304" s="24"/>
      <c r="O304" s="23"/>
      <c r="P304" s="24"/>
      <c r="Q304" s="23"/>
      <c r="R304" s="23"/>
      <c r="S304" s="23"/>
      <c r="T304" s="23"/>
      <c r="U304" s="23"/>
      <c r="V304" s="23"/>
      <c r="W304" s="23"/>
      <c r="X304" s="23"/>
      <c r="AO304" s="34"/>
      <c r="AP304" s="22"/>
      <c r="AQ304" s="22"/>
      <c r="AR304" s="22"/>
      <c r="AS304" s="34"/>
      <c r="AT304" s="34"/>
      <c r="AV304" s="34"/>
      <c r="AX304" s="35"/>
      <c r="AY304" s="35"/>
      <c r="AZ304" s="35"/>
      <c r="BA304" s="22"/>
      <c r="BB304" s="22"/>
      <c r="BC304" s="23"/>
      <c r="BD304" s="22"/>
      <c r="BE304" s="22"/>
      <c r="BF304" s="22"/>
      <c r="BG304" s="22"/>
      <c r="BH304" s="22"/>
      <c r="BI304" s="22"/>
      <c r="BJ304" s="22"/>
      <c r="BK304" s="22"/>
      <c r="BL304" s="22"/>
      <c r="BM304" s="22"/>
    </row>
    <row r="305" spans="2:65">
      <c r="B305" s="20"/>
      <c r="D305" s="19"/>
      <c r="E305" s="22"/>
      <c r="F305" s="22"/>
      <c r="G305" s="22"/>
      <c r="H305" s="22"/>
      <c r="I305" s="23"/>
      <c r="J305" s="24"/>
      <c r="K305" s="23"/>
      <c r="L305" s="24"/>
      <c r="M305" s="23"/>
      <c r="N305" s="24"/>
      <c r="O305" s="23"/>
      <c r="P305" s="24"/>
      <c r="Q305" s="23"/>
      <c r="R305" s="23"/>
      <c r="S305" s="23"/>
      <c r="T305" s="23"/>
      <c r="U305" s="23"/>
      <c r="V305" s="23"/>
      <c r="W305" s="23"/>
      <c r="X305" s="23"/>
      <c r="AO305" s="34"/>
      <c r="AP305" s="22"/>
      <c r="AQ305" s="22"/>
      <c r="AR305" s="22"/>
      <c r="AS305" s="34"/>
      <c r="AT305" s="34"/>
      <c r="AV305" s="34"/>
      <c r="AX305" s="35"/>
      <c r="AY305" s="35"/>
      <c r="AZ305" s="35"/>
      <c r="BA305" s="22"/>
      <c r="BB305" s="22"/>
      <c r="BC305" s="23"/>
      <c r="BD305" s="22"/>
      <c r="BE305" s="22"/>
      <c r="BF305" s="22"/>
      <c r="BG305" s="22"/>
      <c r="BH305" s="22"/>
      <c r="BI305" s="22"/>
      <c r="BJ305" s="22"/>
      <c r="BK305" s="22"/>
      <c r="BL305" s="22"/>
      <c r="BM305" s="22"/>
    </row>
    <row r="306" spans="2:65">
      <c r="B306" s="20"/>
      <c r="D306" s="19"/>
      <c r="E306" s="22"/>
      <c r="F306" s="22"/>
      <c r="G306" s="22"/>
      <c r="H306" s="22"/>
      <c r="I306" s="23"/>
      <c r="J306" s="24"/>
      <c r="K306" s="23"/>
      <c r="L306" s="24"/>
      <c r="M306" s="23"/>
      <c r="N306" s="24"/>
      <c r="O306" s="23"/>
      <c r="P306" s="24"/>
      <c r="Q306" s="23"/>
      <c r="R306" s="23"/>
      <c r="S306" s="23"/>
      <c r="T306" s="23"/>
      <c r="U306" s="23"/>
      <c r="V306" s="23"/>
      <c r="W306" s="23"/>
      <c r="X306" s="23"/>
      <c r="AO306" s="34"/>
      <c r="AP306" s="22"/>
      <c r="AQ306" s="22"/>
      <c r="AR306" s="22"/>
      <c r="AS306" s="34"/>
      <c r="AT306" s="34"/>
      <c r="AV306" s="34"/>
      <c r="AX306" s="35"/>
      <c r="AY306" s="35"/>
      <c r="AZ306" s="35"/>
      <c r="BA306" s="22"/>
      <c r="BB306" s="22"/>
      <c r="BC306" s="23"/>
      <c r="BD306" s="22"/>
      <c r="BE306" s="22"/>
      <c r="BF306" s="22"/>
      <c r="BG306" s="22"/>
      <c r="BH306" s="22"/>
      <c r="BI306" s="22"/>
      <c r="BJ306" s="22"/>
      <c r="BK306" s="22"/>
      <c r="BL306" s="22"/>
      <c r="BM306" s="22"/>
    </row>
    <row r="307" spans="2:65">
      <c r="B307" s="20"/>
      <c r="D307" s="19"/>
      <c r="E307" s="22"/>
      <c r="F307" s="22"/>
      <c r="G307" s="22"/>
      <c r="H307" s="22"/>
      <c r="I307" s="23"/>
      <c r="J307" s="24"/>
      <c r="K307" s="23"/>
      <c r="L307" s="24"/>
      <c r="M307" s="23"/>
      <c r="N307" s="24"/>
      <c r="O307" s="23"/>
      <c r="P307" s="24"/>
      <c r="Q307" s="23"/>
      <c r="R307" s="23"/>
      <c r="S307" s="23"/>
      <c r="T307" s="23"/>
      <c r="U307" s="23"/>
      <c r="V307" s="23"/>
      <c r="W307" s="23"/>
      <c r="X307" s="23"/>
      <c r="AO307" s="34"/>
      <c r="AP307" s="22"/>
      <c r="AQ307" s="22"/>
      <c r="AR307" s="22"/>
      <c r="AS307" s="34"/>
      <c r="AT307" s="34"/>
      <c r="AV307" s="34"/>
      <c r="AX307" s="35"/>
      <c r="AY307" s="35"/>
      <c r="AZ307" s="35"/>
      <c r="BA307" s="22"/>
      <c r="BB307" s="22"/>
      <c r="BC307" s="23"/>
      <c r="BD307" s="22"/>
      <c r="BE307" s="22"/>
      <c r="BF307" s="22"/>
      <c r="BG307" s="22"/>
      <c r="BH307" s="22"/>
      <c r="BI307" s="22"/>
      <c r="BJ307" s="22"/>
      <c r="BK307" s="22"/>
      <c r="BL307" s="22"/>
      <c r="BM307" s="22"/>
    </row>
    <row r="308" spans="2:65">
      <c r="B308" s="20"/>
      <c r="D308" s="19"/>
      <c r="E308" s="22"/>
      <c r="F308" s="22"/>
      <c r="G308" s="22"/>
      <c r="H308" s="22"/>
      <c r="I308" s="23"/>
      <c r="J308" s="24"/>
      <c r="K308" s="23"/>
      <c r="L308" s="24"/>
      <c r="M308" s="23"/>
      <c r="N308" s="24"/>
      <c r="O308" s="23"/>
      <c r="P308" s="24"/>
      <c r="Q308" s="23"/>
      <c r="R308" s="23"/>
      <c r="S308" s="23"/>
      <c r="T308" s="23"/>
      <c r="U308" s="23"/>
      <c r="V308" s="23"/>
      <c r="W308" s="23"/>
      <c r="X308" s="23"/>
      <c r="AO308" s="34"/>
      <c r="AP308" s="22"/>
      <c r="AQ308" s="22"/>
      <c r="AR308" s="22"/>
      <c r="AS308" s="34"/>
      <c r="AT308" s="34"/>
      <c r="AV308" s="34"/>
      <c r="AX308" s="35"/>
      <c r="AY308" s="35"/>
      <c r="AZ308" s="35"/>
      <c r="BA308" s="22"/>
      <c r="BB308" s="22"/>
      <c r="BC308" s="23"/>
      <c r="BD308" s="22"/>
      <c r="BE308" s="22"/>
      <c r="BF308" s="22"/>
      <c r="BG308" s="22"/>
      <c r="BH308" s="22"/>
      <c r="BI308" s="22"/>
      <c r="BJ308" s="22"/>
      <c r="BK308" s="22"/>
      <c r="BL308" s="22"/>
      <c r="BM308" s="22"/>
    </row>
    <row r="309" spans="2:65">
      <c r="B309" s="20"/>
      <c r="D309" s="19"/>
      <c r="E309" s="22"/>
      <c r="F309" s="22"/>
      <c r="G309" s="22"/>
      <c r="H309" s="22"/>
      <c r="I309" s="23"/>
      <c r="J309" s="24"/>
      <c r="K309" s="23"/>
      <c r="L309" s="24"/>
      <c r="M309" s="23"/>
      <c r="N309" s="24"/>
      <c r="O309" s="23"/>
      <c r="P309" s="24"/>
      <c r="Q309" s="23"/>
      <c r="R309" s="23"/>
      <c r="S309" s="23"/>
      <c r="T309" s="23"/>
      <c r="U309" s="23"/>
      <c r="V309" s="23"/>
      <c r="W309" s="23"/>
      <c r="X309" s="23"/>
      <c r="AO309" s="34"/>
      <c r="AP309" s="22"/>
      <c r="AQ309" s="22"/>
      <c r="AR309" s="22"/>
      <c r="AS309" s="34"/>
      <c r="AT309" s="34"/>
      <c r="AV309" s="34"/>
      <c r="AX309" s="35"/>
      <c r="AY309" s="35"/>
      <c r="AZ309" s="35"/>
      <c r="BA309" s="22"/>
      <c r="BB309" s="22"/>
      <c r="BC309" s="23"/>
      <c r="BD309" s="22"/>
      <c r="BE309" s="22"/>
      <c r="BF309" s="22"/>
      <c r="BG309" s="22"/>
      <c r="BH309" s="22"/>
      <c r="BI309" s="22"/>
      <c r="BJ309" s="22"/>
      <c r="BK309" s="22"/>
      <c r="BL309" s="22"/>
      <c r="BM309" s="22"/>
    </row>
    <row r="310" spans="2:65">
      <c r="B310" s="20"/>
      <c r="D310" s="19"/>
      <c r="E310" s="22"/>
      <c r="F310" s="22"/>
      <c r="G310" s="22"/>
      <c r="H310" s="22"/>
      <c r="I310" s="23"/>
      <c r="J310" s="24"/>
      <c r="K310" s="23"/>
      <c r="L310" s="24"/>
      <c r="M310" s="23"/>
      <c r="N310" s="24"/>
      <c r="O310" s="23"/>
      <c r="P310" s="24"/>
      <c r="Q310" s="23"/>
      <c r="R310" s="23"/>
      <c r="S310" s="23"/>
      <c r="T310" s="23"/>
      <c r="U310" s="23"/>
      <c r="V310" s="23"/>
      <c r="W310" s="23"/>
      <c r="X310" s="23"/>
      <c r="AO310" s="34"/>
      <c r="AP310" s="22"/>
      <c r="AQ310" s="22"/>
      <c r="AR310" s="22"/>
      <c r="AS310" s="34"/>
      <c r="AT310" s="34"/>
      <c r="AV310" s="34"/>
      <c r="AX310" s="35"/>
      <c r="AY310" s="35"/>
      <c r="AZ310" s="35"/>
      <c r="BA310" s="22"/>
      <c r="BB310" s="22"/>
      <c r="BC310" s="23"/>
      <c r="BD310" s="22"/>
      <c r="BE310" s="22"/>
      <c r="BF310" s="22"/>
      <c r="BG310" s="22"/>
      <c r="BH310" s="22"/>
      <c r="BI310" s="22"/>
      <c r="BJ310" s="22"/>
      <c r="BK310" s="22"/>
      <c r="BL310" s="22"/>
      <c r="BM310" s="22"/>
    </row>
    <row r="311" spans="2:65">
      <c r="B311" s="20"/>
      <c r="D311" s="19"/>
      <c r="E311" s="22"/>
      <c r="F311" s="22"/>
      <c r="G311" s="22"/>
      <c r="H311" s="22"/>
      <c r="I311" s="23"/>
      <c r="J311" s="24"/>
      <c r="K311" s="23"/>
      <c r="L311" s="24"/>
      <c r="M311" s="23"/>
      <c r="N311" s="24"/>
      <c r="O311" s="23"/>
      <c r="P311" s="24"/>
      <c r="Q311" s="23"/>
      <c r="R311" s="23"/>
      <c r="S311" s="23"/>
      <c r="T311" s="23"/>
      <c r="U311" s="23"/>
      <c r="V311" s="23"/>
      <c r="W311" s="23"/>
      <c r="X311" s="23"/>
      <c r="AO311" s="34"/>
      <c r="AP311" s="22"/>
      <c r="AQ311" s="22"/>
      <c r="AR311" s="22"/>
      <c r="AS311" s="34"/>
      <c r="AT311" s="34"/>
      <c r="AV311" s="34"/>
      <c r="AX311" s="35"/>
      <c r="AY311" s="35"/>
      <c r="AZ311" s="35"/>
      <c r="BA311" s="22"/>
      <c r="BB311" s="22"/>
      <c r="BC311" s="23"/>
      <c r="BD311" s="22"/>
      <c r="BE311" s="22"/>
      <c r="BF311" s="22"/>
      <c r="BG311" s="22"/>
      <c r="BH311" s="22"/>
      <c r="BI311" s="22"/>
      <c r="BJ311" s="22"/>
      <c r="BK311" s="22"/>
      <c r="BL311" s="22"/>
      <c r="BM311" s="22"/>
    </row>
    <row r="312" spans="2:65">
      <c r="B312" s="20"/>
      <c r="D312" s="19"/>
      <c r="E312" s="22"/>
      <c r="F312" s="22"/>
      <c r="G312" s="22"/>
      <c r="H312" s="22"/>
      <c r="I312" s="23"/>
      <c r="J312" s="24"/>
      <c r="K312" s="23"/>
      <c r="L312" s="24"/>
      <c r="M312" s="23"/>
      <c r="N312" s="24"/>
      <c r="O312" s="23"/>
      <c r="P312" s="24"/>
      <c r="Q312" s="23"/>
      <c r="R312" s="23"/>
      <c r="S312" s="23"/>
      <c r="T312" s="23"/>
      <c r="U312" s="23"/>
      <c r="V312" s="23"/>
      <c r="W312" s="23"/>
      <c r="X312" s="23"/>
      <c r="AO312" s="34"/>
      <c r="AP312" s="22"/>
      <c r="AQ312" s="22"/>
      <c r="AR312" s="22"/>
      <c r="AS312" s="34"/>
      <c r="AT312" s="34"/>
      <c r="AV312" s="34"/>
      <c r="AX312" s="35"/>
      <c r="AY312" s="35"/>
      <c r="AZ312" s="35"/>
      <c r="BA312" s="22"/>
      <c r="BB312" s="22"/>
      <c r="BC312" s="23"/>
      <c r="BD312" s="22"/>
      <c r="BE312" s="22"/>
      <c r="BF312" s="22"/>
      <c r="BG312" s="22"/>
      <c r="BH312" s="22"/>
      <c r="BI312" s="22"/>
      <c r="BJ312" s="22"/>
      <c r="BK312" s="22"/>
      <c r="BL312" s="22"/>
      <c r="BM312" s="22"/>
    </row>
    <row r="313" spans="2:65">
      <c r="B313" s="20"/>
      <c r="D313" s="19"/>
      <c r="E313" s="22"/>
      <c r="F313" s="22"/>
      <c r="G313" s="22"/>
      <c r="H313" s="22"/>
      <c r="I313" s="23"/>
      <c r="J313" s="24"/>
      <c r="K313" s="23"/>
      <c r="L313" s="24"/>
      <c r="M313" s="23"/>
      <c r="N313" s="24"/>
      <c r="O313" s="23"/>
      <c r="P313" s="24"/>
      <c r="Q313" s="23"/>
      <c r="R313" s="23"/>
      <c r="S313" s="23"/>
      <c r="T313" s="23"/>
      <c r="U313" s="23"/>
      <c r="V313" s="23"/>
      <c r="W313" s="23"/>
      <c r="X313" s="23"/>
      <c r="AO313" s="34"/>
      <c r="AP313" s="22"/>
      <c r="AQ313" s="22"/>
      <c r="AR313" s="22"/>
      <c r="AS313" s="34"/>
      <c r="AT313" s="34"/>
      <c r="AV313" s="34"/>
      <c r="AX313" s="35"/>
      <c r="AY313" s="35"/>
      <c r="AZ313" s="35"/>
      <c r="BA313" s="22"/>
      <c r="BB313" s="22"/>
      <c r="BC313" s="23"/>
      <c r="BD313" s="22"/>
      <c r="BE313" s="22"/>
      <c r="BF313" s="22"/>
      <c r="BG313" s="22"/>
      <c r="BH313" s="22"/>
      <c r="BI313" s="22"/>
      <c r="BJ313" s="22"/>
      <c r="BK313" s="22"/>
      <c r="BL313" s="22"/>
      <c r="BM313" s="22"/>
    </row>
    <row r="314" spans="2:65">
      <c r="B314" s="20"/>
      <c r="D314" s="19"/>
      <c r="E314" s="22"/>
      <c r="F314" s="22"/>
      <c r="G314" s="22"/>
      <c r="H314" s="22"/>
      <c r="I314" s="23"/>
      <c r="J314" s="24"/>
      <c r="K314" s="23"/>
      <c r="L314" s="24"/>
      <c r="M314" s="23"/>
      <c r="N314" s="24"/>
      <c r="O314" s="23"/>
      <c r="P314" s="24"/>
      <c r="Q314" s="23"/>
      <c r="R314" s="23"/>
      <c r="S314" s="23"/>
      <c r="T314" s="23"/>
      <c r="U314" s="23"/>
      <c r="V314" s="23"/>
      <c r="W314" s="23"/>
      <c r="X314" s="23"/>
      <c r="AO314" s="34"/>
      <c r="AP314" s="22"/>
      <c r="AQ314" s="22"/>
      <c r="AR314" s="22"/>
      <c r="AS314" s="34"/>
      <c r="AT314" s="34"/>
      <c r="AV314" s="34"/>
      <c r="AX314" s="35"/>
      <c r="AY314" s="35"/>
      <c r="AZ314" s="35"/>
      <c r="BA314" s="22"/>
      <c r="BB314" s="22"/>
      <c r="BC314" s="23"/>
      <c r="BD314" s="22"/>
      <c r="BE314" s="22"/>
      <c r="BF314" s="22"/>
      <c r="BG314" s="22"/>
      <c r="BH314" s="22"/>
      <c r="BI314" s="22"/>
      <c r="BJ314" s="22"/>
      <c r="BK314" s="22"/>
      <c r="BL314" s="22"/>
      <c r="BM314" s="22"/>
    </row>
    <row r="315" spans="2:65">
      <c r="B315" s="20"/>
      <c r="D315" s="19"/>
      <c r="E315" s="22"/>
      <c r="F315" s="22"/>
      <c r="G315" s="22"/>
      <c r="H315" s="22"/>
      <c r="I315" s="23"/>
      <c r="J315" s="24"/>
      <c r="K315" s="23"/>
      <c r="L315" s="24"/>
      <c r="M315" s="23"/>
      <c r="N315" s="24"/>
      <c r="O315" s="23"/>
      <c r="P315" s="24"/>
      <c r="Q315" s="23"/>
      <c r="R315" s="23"/>
      <c r="S315" s="23"/>
      <c r="T315" s="23"/>
      <c r="U315" s="23"/>
      <c r="V315" s="23"/>
      <c r="W315" s="23"/>
      <c r="X315" s="23"/>
      <c r="AO315" s="34"/>
      <c r="AP315" s="22"/>
      <c r="AQ315" s="22"/>
      <c r="AR315" s="22"/>
      <c r="AS315" s="34"/>
      <c r="AT315" s="34"/>
      <c r="AV315" s="34"/>
      <c r="AX315" s="35"/>
      <c r="AY315" s="35"/>
      <c r="AZ315" s="35"/>
      <c r="BA315" s="22"/>
      <c r="BB315" s="22"/>
      <c r="BC315" s="23"/>
      <c r="BD315" s="22"/>
      <c r="BE315" s="22"/>
      <c r="BF315" s="22"/>
      <c r="BG315" s="22"/>
      <c r="BH315" s="22"/>
      <c r="BI315" s="22"/>
      <c r="BJ315" s="22"/>
      <c r="BK315" s="22"/>
      <c r="BL315" s="22"/>
      <c r="BM315" s="22"/>
    </row>
    <row r="316" spans="2:65">
      <c r="B316" s="20"/>
      <c r="D316" s="19"/>
      <c r="E316" s="22"/>
      <c r="F316" s="22"/>
      <c r="G316" s="22"/>
      <c r="H316" s="22"/>
      <c r="I316" s="23"/>
      <c r="J316" s="24"/>
      <c r="K316" s="23"/>
      <c r="L316" s="24"/>
      <c r="M316" s="23"/>
      <c r="N316" s="24"/>
      <c r="O316" s="23"/>
      <c r="P316" s="24"/>
      <c r="Q316" s="23"/>
      <c r="R316" s="23"/>
      <c r="S316" s="23"/>
      <c r="T316" s="23"/>
      <c r="U316" s="23"/>
      <c r="V316" s="23"/>
      <c r="W316" s="23"/>
      <c r="X316" s="23"/>
      <c r="AO316" s="34"/>
      <c r="AP316" s="22"/>
      <c r="AQ316" s="22"/>
      <c r="AR316" s="22"/>
      <c r="AS316" s="34"/>
      <c r="AT316" s="34"/>
      <c r="AV316" s="34"/>
      <c r="AX316" s="35"/>
      <c r="AY316" s="35"/>
      <c r="AZ316" s="35"/>
      <c r="BA316" s="22"/>
      <c r="BB316" s="22"/>
      <c r="BC316" s="23"/>
      <c r="BD316" s="22"/>
      <c r="BE316" s="22"/>
      <c r="BF316" s="22"/>
      <c r="BG316" s="22"/>
      <c r="BH316" s="22"/>
      <c r="BI316" s="22"/>
      <c r="BJ316" s="22"/>
      <c r="BK316" s="22"/>
      <c r="BL316" s="22"/>
      <c r="BM316" s="22"/>
    </row>
    <row r="317" spans="2:65">
      <c r="B317" s="20"/>
      <c r="D317" s="19"/>
      <c r="E317" s="22"/>
      <c r="F317" s="22"/>
      <c r="G317" s="22"/>
      <c r="H317" s="22"/>
      <c r="I317" s="23"/>
      <c r="J317" s="24"/>
      <c r="K317" s="23"/>
      <c r="L317" s="24"/>
      <c r="M317" s="23"/>
      <c r="N317" s="24"/>
      <c r="O317" s="23"/>
      <c r="P317" s="24"/>
      <c r="Q317" s="23"/>
      <c r="R317" s="23"/>
      <c r="S317" s="23"/>
      <c r="T317" s="23"/>
      <c r="U317" s="23"/>
      <c r="V317" s="23"/>
      <c r="W317" s="23"/>
      <c r="X317" s="23"/>
      <c r="AO317" s="34"/>
      <c r="AP317" s="22"/>
      <c r="AQ317" s="22"/>
      <c r="AR317" s="22"/>
      <c r="AS317" s="34"/>
      <c r="AT317" s="34"/>
      <c r="AV317" s="34"/>
      <c r="AX317" s="35"/>
      <c r="AY317" s="35"/>
      <c r="AZ317" s="35"/>
      <c r="BA317" s="22"/>
      <c r="BB317" s="22"/>
      <c r="BC317" s="23"/>
      <c r="BD317" s="22"/>
      <c r="BE317" s="22"/>
      <c r="BF317" s="22"/>
      <c r="BG317" s="22"/>
      <c r="BH317" s="22"/>
      <c r="BI317" s="22"/>
      <c r="BJ317" s="22"/>
      <c r="BK317" s="22"/>
      <c r="BL317" s="22"/>
      <c r="BM317" s="22"/>
    </row>
    <row r="318" spans="2:65">
      <c r="B318" s="20"/>
      <c r="D318" s="19"/>
      <c r="E318" s="22"/>
      <c r="F318" s="22"/>
      <c r="G318" s="22"/>
      <c r="H318" s="22"/>
      <c r="I318" s="23"/>
      <c r="J318" s="24"/>
      <c r="K318" s="23"/>
      <c r="L318" s="24"/>
      <c r="M318" s="23"/>
      <c r="N318" s="24"/>
      <c r="O318" s="23"/>
      <c r="P318" s="24"/>
      <c r="Q318" s="23"/>
      <c r="R318" s="23"/>
      <c r="S318" s="23"/>
      <c r="T318" s="23"/>
      <c r="U318" s="23"/>
      <c r="V318" s="23"/>
      <c r="W318" s="23"/>
      <c r="X318" s="23"/>
      <c r="AO318" s="34"/>
      <c r="AP318" s="22"/>
      <c r="AQ318" s="22"/>
      <c r="AR318" s="22"/>
      <c r="AS318" s="34"/>
      <c r="AT318" s="34"/>
      <c r="AV318" s="34"/>
      <c r="AX318" s="35"/>
      <c r="AY318" s="35"/>
      <c r="AZ318" s="35"/>
      <c r="BA318" s="22"/>
      <c r="BB318" s="22"/>
      <c r="BC318" s="23"/>
      <c r="BD318" s="22"/>
      <c r="BE318" s="22"/>
      <c r="BF318" s="22"/>
      <c r="BG318" s="22"/>
      <c r="BH318" s="22"/>
      <c r="BI318" s="22"/>
      <c r="BJ318" s="22"/>
      <c r="BK318" s="22"/>
      <c r="BL318" s="22"/>
      <c r="BM318" s="22"/>
    </row>
    <row r="319" spans="2:65">
      <c r="B319" s="20"/>
      <c r="D319" s="19"/>
      <c r="E319" s="22"/>
      <c r="F319" s="22"/>
      <c r="G319" s="22"/>
      <c r="H319" s="22"/>
      <c r="I319" s="23"/>
      <c r="J319" s="24"/>
      <c r="K319" s="23"/>
      <c r="L319" s="24"/>
      <c r="M319" s="23"/>
      <c r="N319" s="24"/>
      <c r="O319" s="23"/>
      <c r="P319" s="24"/>
      <c r="Q319" s="23"/>
      <c r="R319" s="23"/>
      <c r="S319" s="23"/>
      <c r="T319" s="23"/>
      <c r="U319" s="23"/>
      <c r="V319" s="23"/>
      <c r="W319" s="23"/>
      <c r="X319" s="23"/>
      <c r="AO319" s="34"/>
      <c r="AP319" s="22"/>
      <c r="AQ319" s="22"/>
      <c r="AR319" s="22"/>
      <c r="AS319" s="34"/>
      <c r="AT319" s="34"/>
      <c r="AV319" s="34"/>
      <c r="AX319" s="35"/>
      <c r="AY319" s="35"/>
      <c r="AZ319" s="35"/>
      <c r="BA319" s="22"/>
      <c r="BB319" s="22"/>
      <c r="BC319" s="23"/>
      <c r="BD319" s="22"/>
      <c r="BE319" s="22"/>
      <c r="BF319" s="22"/>
      <c r="BG319" s="22"/>
      <c r="BH319" s="22"/>
      <c r="BI319" s="22"/>
      <c r="BJ319" s="22"/>
      <c r="BK319" s="22"/>
      <c r="BL319" s="22"/>
      <c r="BM319" s="22"/>
    </row>
    <row r="320" spans="2:65">
      <c r="B320" s="20"/>
      <c r="D320" s="19"/>
      <c r="E320" s="22"/>
      <c r="F320" s="22"/>
      <c r="G320" s="22"/>
      <c r="H320" s="22"/>
      <c r="I320" s="23"/>
      <c r="J320" s="24"/>
      <c r="K320" s="23"/>
      <c r="L320" s="24"/>
      <c r="M320" s="23"/>
      <c r="N320" s="24"/>
      <c r="O320" s="23"/>
      <c r="P320" s="24"/>
      <c r="Q320" s="23"/>
      <c r="R320" s="23"/>
      <c r="S320" s="23"/>
      <c r="T320" s="23"/>
      <c r="U320" s="23"/>
      <c r="V320" s="23"/>
      <c r="W320" s="23"/>
      <c r="X320" s="23"/>
      <c r="AO320" s="34"/>
      <c r="AP320" s="22"/>
      <c r="AQ320" s="22"/>
      <c r="AR320" s="22"/>
      <c r="AS320" s="34"/>
      <c r="AT320" s="34"/>
      <c r="AV320" s="34"/>
      <c r="AX320" s="35"/>
      <c r="AY320" s="35"/>
      <c r="AZ320" s="35"/>
      <c r="BA320" s="22"/>
      <c r="BB320" s="22"/>
      <c r="BC320" s="23"/>
      <c r="BD320" s="22"/>
      <c r="BE320" s="22"/>
      <c r="BF320" s="22"/>
      <c r="BG320" s="22"/>
      <c r="BH320" s="22"/>
      <c r="BI320" s="22"/>
      <c r="BJ320" s="22"/>
      <c r="BK320" s="22"/>
      <c r="BL320" s="22"/>
      <c r="BM320" s="22"/>
    </row>
    <row r="321" spans="2:65">
      <c r="B321" s="20"/>
      <c r="D321" s="19"/>
      <c r="E321" s="22"/>
      <c r="F321" s="22"/>
      <c r="G321" s="22"/>
      <c r="H321" s="22"/>
      <c r="I321" s="23"/>
      <c r="J321" s="24"/>
      <c r="K321" s="23"/>
      <c r="L321" s="24"/>
      <c r="M321" s="23"/>
      <c r="N321" s="24"/>
      <c r="O321" s="23"/>
      <c r="P321" s="24"/>
      <c r="Q321" s="23"/>
      <c r="R321" s="23"/>
      <c r="S321" s="23"/>
      <c r="T321" s="23"/>
      <c r="U321" s="23"/>
      <c r="V321" s="23"/>
      <c r="W321" s="23"/>
      <c r="X321" s="23"/>
      <c r="AO321" s="34"/>
      <c r="AP321" s="22"/>
      <c r="AQ321" s="22"/>
      <c r="AR321" s="22"/>
      <c r="AS321" s="34"/>
      <c r="AT321" s="34"/>
      <c r="AV321" s="34"/>
      <c r="AX321" s="35"/>
      <c r="AY321" s="35"/>
      <c r="AZ321" s="35"/>
      <c r="BA321" s="22"/>
      <c r="BB321" s="22"/>
      <c r="BC321" s="23"/>
      <c r="BD321" s="22"/>
      <c r="BE321" s="22"/>
      <c r="BF321" s="22"/>
      <c r="BG321" s="22"/>
      <c r="BH321" s="22"/>
      <c r="BI321" s="22"/>
      <c r="BJ321" s="22"/>
      <c r="BK321" s="22"/>
      <c r="BL321" s="22"/>
      <c r="BM321" s="22"/>
    </row>
    <row r="322" spans="2:65">
      <c r="B322" s="20"/>
      <c r="D322" s="19"/>
      <c r="E322" s="22"/>
      <c r="F322" s="22"/>
      <c r="G322" s="22"/>
      <c r="H322" s="22"/>
      <c r="I322" s="23"/>
      <c r="J322" s="24"/>
      <c r="K322" s="23"/>
      <c r="L322" s="24"/>
      <c r="M322" s="23"/>
      <c r="N322" s="24"/>
      <c r="O322" s="23"/>
      <c r="P322" s="24"/>
      <c r="Q322" s="23"/>
      <c r="R322" s="23"/>
      <c r="S322" s="23"/>
      <c r="T322" s="23"/>
      <c r="U322" s="23"/>
      <c r="V322" s="23"/>
      <c r="W322" s="23"/>
      <c r="X322" s="23"/>
      <c r="AO322" s="34"/>
      <c r="AP322" s="22"/>
      <c r="AQ322" s="22"/>
      <c r="AR322" s="22"/>
      <c r="AS322" s="34"/>
      <c r="AT322" s="34"/>
      <c r="AV322" s="34"/>
      <c r="AX322" s="35"/>
      <c r="AY322" s="35"/>
      <c r="AZ322" s="35"/>
      <c r="BA322" s="22"/>
      <c r="BB322" s="22"/>
      <c r="BC322" s="23"/>
      <c r="BD322" s="22"/>
      <c r="BE322" s="22"/>
      <c r="BF322" s="22"/>
      <c r="BG322" s="22"/>
      <c r="BH322" s="22"/>
      <c r="BI322" s="22"/>
      <c r="BJ322" s="22"/>
      <c r="BK322" s="22"/>
      <c r="BL322" s="22"/>
      <c r="BM322" s="22"/>
    </row>
    <row r="323" spans="2:65">
      <c r="B323" s="20"/>
      <c r="D323" s="19"/>
      <c r="E323" s="22"/>
      <c r="F323" s="22"/>
      <c r="G323" s="22"/>
      <c r="H323" s="22"/>
      <c r="I323" s="23"/>
      <c r="J323" s="24"/>
      <c r="K323" s="23"/>
      <c r="L323" s="24"/>
      <c r="M323" s="23"/>
      <c r="N323" s="24"/>
      <c r="O323" s="23"/>
      <c r="P323" s="24"/>
      <c r="Q323" s="23"/>
      <c r="R323" s="23"/>
      <c r="S323" s="23"/>
      <c r="T323" s="23"/>
      <c r="U323" s="23"/>
      <c r="V323" s="23"/>
      <c r="W323" s="23"/>
      <c r="X323" s="23"/>
      <c r="AO323" s="34"/>
      <c r="AP323" s="22"/>
      <c r="AQ323" s="22"/>
      <c r="AR323" s="22"/>
      <c r="AS323" s="34"/>
      <c r="AT323" s="34"/>
      <c r="AV323" s="34"/>
      <c r="AX323" s="35"/>
      <c r="AY323" s="35"/>
      <c r="AZ323" s="35"/>
      <c r="BA323" s="22"/>
      <c r="BB323" s="22"/>
      <c r="BC323" s="23"/>
      <c r="BD323" s="22"/>
      <c r="BE323" s="22"/>
      <c r="BF323" s="22"/>
      <c r="BG323" s="22"/>
      <c r="BH323" s="22"/>
      <c r="BI323" s="22"/>
      <c r="BJ323" s="22"/>
      <c r="BK323" s="22"/>
      <c r="BL323" s="22"/>
      <c r="BM323" s="22"/>
    </row>
    <row r="324" spans="2:65">
      <c r="B324" s="20"/>
      <c r="D324" s="19"/>
      <c r="E324" s="22"/>
      <c r="F324" s="22"/>
      <c r="G324" s="22"/>
      <c r="H324" s="22"/>
      <c r="I324" s="23"/>
      <c r="J324" s="24"/>
      <c r="K324" s="23"/>
      <c r="L324" s="24"/>
      <c r="M324" s="23"/>
      <c r="N324" s="24"/>
      <c r="O324" s="23"/>
      <c r="P324" s="24"/>
      <c r="Q324" s="23"/>
      <c r="R324" s="23"/>
      <c r="S324" s="23"/>
      <c r="T324" s="23"/>
      <c r="U324" s="23"/>
      <c r="V324" s="23"/>
      <c r="W324" s="23"/>
      <c r="X324" s="23"/>
      <c r="AO324" s="34"/>
      <c r="AP324" s="22"/>
      <c r="AQ324" s="22"/>
      <c r="AR324" s="22"/>
      <c r="AS324" s="34"/>
      <c r="AT324" s="34"/>
      <c r="AV324" s="34"/>
      <c r="AX324" s="35"/>
      <c r="AY324" s="35"/>
      <c r="AZ324" s="35"/>
      <c r="BA324" s="22"/>
      <c r="BB324" s="22"/>
      <c r="BC324" s="23"/>
      <c r="BD324" s="22"/>
      <c r="BE324" s="22"/>
      <c r="BF324" s="22"/>
      <c r="BG324" s="22"/>
      <c r="BH324" s="22"/>
      <c r="BI324" s="22"/>
      <c r="BJ324" s="22"/>
      <c r="BK324" s="22"/>
      <c r="BL324" s="22"/>
      <c r="BM324" s="22"/>
    </row>
    <row r="325" spans="2:65">
      <c r="B325" s="20"/>
      <c r="D325" s="19"/>
      <c r="E325" s="22"/>
      <c r="F325" s="22"/>
      <c r="G325" s="22"/>
      <c r="H325" s="22"/>
      <c r="I325" s="23"/>
      <c r="J325" s="24"/>
      <c r="K325" s="23"/>
      <c r="L325" s="24"/>
      <c r="M325" s="23"/>
      <c r="N325" s="24"/>
      <c r="O325" s="23"/>
      <c r="P325" s="24"/>
      <c r="Q325" s="23"/>
      <c r="R325" s="23"/>
      <c r="S325" s="23"/>
      <c r="T325" s="23"/>
      <c r="U325" s="23"/>
      <c r="V325" s="23"/>
      <c r="W325" s="23"/>
      <c r="X325" s="23"/>
      <c r="AO325" s="34"/>
      <c r="AP325" s="22"/>
      <c r="AQ325" s="22"/>
      <c r="AR325" s="22"/>
      <c r="AS325" s="34"/>
      <c r="AT325" s="34"/>
      <c r="AV325" s="34"/>
      <c r="AX325" s="35"/>
      <c r="AY325" s="35"/>
      <c r="AZ325" s="35"/>
      <c r="BA325" s="22"/>
      <c r="BB325" s="22"/>
      <c r="BC325" s="23"/>
      <c r="BD325" s="22"/>
      <c r="BE325" s="22"/>
      <c r="BF325" s="22"/>
      <c r="BG325" s="22"/>
      <c r="BH325" s="22"/>
      <c r="BI325" s="22"/>
      <c r="BJ325" s="22"/>
      <c r="BK325" s="22"/>
      <c r="BL325" s="22"/>
      <c r="BM325" s="22"/>
    </row>
    <row r="326" spans="2:65">
      <c r="B326" s="20"/>
      <c r="D326" s="19"/>
      <c r="E326" s="22"/>
      <c r="F326" s="22"/>
      <c r="G326" s="22"/>
      <c r="H326" s="22"/>
      <c r="I326" s="23"/>
      <c r="J326" s="24"/>
      <c r="K326" s="23"/>
      <c r="L326" s="24"/>
      <c r="M326" s="23"/>
      <c r="N326" s="24"/>
      <c r="O326" s="23"/>
      <c r="P326" s="24"/>
      <c r="Q326" s="23"/>
      <c r="R326" s="23"/>
      <c r="S326" s="23"/>
      <c r="T326" s="23"/>
      <c r="U326" s="23"/>
      <c r="V326" s="23"/>
      <c r="W326" s="23"/>
      <c r="X326" s="23"/>
      <c r="AO326" s="34"/>
      <c r="AP326" s="22"/>
      <c r="AQ326" s="22"/>
      <c r="AR326" s="22"/>
      <c r="AS326" s="34"/>
      <c r="AT326" s="34"/>
      <c r="AV326" s="34"/>
      <c r="AX326" s="35"/>
      <c r="AY326" s="35"/>
      <c r="AZ326" s="35"/>
      <c r="BA326" s="22"/>
      <c r="BB326" s="22"/>
      <c r="BC326" s="23"/>
      <c r="BD326" s="22"/>
      <c r="BE326" s="22"/>
      <c r="BF326" s="22"/>
      <c r="BG326" s="22"/>
      <c r="BH326" s="22"/>
      <c r="BI326" s="22"/>
      <c r="BJ326" s="22"/>
      <c r="BK326" s="22"/>
      <c r="BL326" s="22"/>
      <c r="BM326" s="22"/>
    </row>
    <row r="327" spans="2:65">
      <c r="B327" s="20"/>
      <c r="D327" s="19"/>
      <c r="E327" s="22"/>
      <c r="F327" s="22"/>
      <c r="G327" s="22"/>
      <c r="H327" s="22"/>
      <c r="I327" s="23"/>
      <c r="J327" s="24"/>
      <c r="K327" s="23"/>
      <c r="L327" s="24"/>
      <c r="M327" s="23"/>
      <c r="N327" s="24"/>
      <c r="O327" s="23"/>
      <c r="P327" s="24"/>
      <c r="Q327" s="23"/>
      <c r="R327" s="23"/>
      <c r="S327" s="23"/>
      <c r="T327" s="23"/>
      <c r="U327" s="23"/>
      <c r="V327" s="23"/>
      <c r="W327" s="23"/>
      <c r="X327" s="23"/>
      <c r="AO327" s="34"/>
      <c r="AP327" s="22"/>
      <c r="AQ327" s="22"/>
      <c r="AR327" s="22"/>
      <c r="AS327" s="34"/>
      <c r="AT327" s="34"/>
      <c r="AV327" s="34"/>
      <c r="AX327" s="35"/>
      <c r="AY327" s="35"/>
      <c r="AZ327" s="35"/>
      <c r="BA327" s="22"/>
      <c r="BB327" s="22"/>
      <c r="BC327" s="23"/>
      <c r="BD327" s="22"/>
      <c r="BE327" s="22"/>
      <c r="BF327" s="22"/>
      <c r="BG327" s="22"/>
      <c r="BH327" s="22"/>
      <c r="BI327" s="22"/>
      <c r="BJ327" s="22"/>
      <c r="BK327" s="22"/>
      <c r="BL327" s="22"/>
      <c r="BM327" s="22"/>
    </row>
    <row r="328" spans="2:65">
      <c r="B328" s="20"/>
      <c r="D328" s="19"/>
      <c r="E328" s="22"/>
      <c r="F328" s="22"/>
      <c r="G328" s="22"/>
      <c r="H328" s="22"/>
      <c r="I328" s="23"/>
      <c r="J328" s="24"/>
      <c r="K328" s="23"/>
      <c r="L328" s="24"/>
      <c r="M328" s="23"/>
      <c r="N328" s="24"/>
      <c r="O328" s="23"/>
      <c r="P328" s="24"/>
      <c r="Q328" s="23"/>
      <c r="R328" s="23"/>
      <c r="S328" s="23"/>
      <c r="T328" s="23"/>
      <c r="U328" s="23"/>
      <c r="V328" s="23"/>
      <c r="W328" s="23"/>
      <c r="X328" s="23"/>
      <c r="AO328" s="34"/>
      <c r="AP328" s="22"/>
      <c r="AQ328" s="22"/>
      <c r="AR328" s="22"/>
      <c r="AS328" s="34"/>
      <c r="AT328" s="34"/>
      <c r="AV328" s="34"/>
      <c r="AX328" s="35"/>
      <c r="AY328" s="35"/>
      <c r="AZ328" s="35"/>
      <c r="BA328" s="22"/>
      <c r="BB328" s="22"/>
      <c r="BC328" s="23"/>
      <c r="BD328" s="22"/>
      <c r="BE328" s="22"/>
      <c r="BF328" s="22"/>
      <c r="BG328" s="22"/>
      <c r="BH328" s="22"/>
      <c r="BI328" s="22"/>
      <c r="BJ328" s="22"/>
      <c r="BK328" s="22"/>
      <c r="BL328" s="22"/>
      <c r="BM328" s="22"/>
    </row>
    <row r="329" spans="2:65">
      <c r="B329" s="20"/>
      <c r="D329" s="19"/>
      <c r="E329" s="22"/>
      <c r="F329" s="22"/>
      <c r="G329" s="22"/>
      <c r="H329" s="22"/>
      <c r="I329" s="23"/>
      <c r="J329" s="24"/>
      <c r="K329" s="23"/>
      <c r="L329" s="24"/>
      <c r="M329" s="23"/>
      <c r="N329" s="24"/>
      <c r="O329" s="23"/>
      <c r="P329" s="24"/>
      <c r="Q329" s="23"/>
      <c r="R329" s="23"/>
      <c r="S329" s="23"/>
      <c r="T329" s="23"/>
      <c r="U329" s="23"/>
      <c r="V329" s="23"/>
      <c r="W329" s="23"/>
      <c r="X329" s="23"/>
      <c r="AO329" s="34"/>
      <c r="AP329" s="22"/>
      <c r="AQ329" s="22"/>
      <c r="AR329" s="22"/>
      <c r="AS329" s="34"/>
      <c r="AT329" s="34"/>
      <c r="AV329" s="34"/>
      <c r="AX329" s="35"/>
      <c r="AY329" s="35"/>
      <c r="AZ329" s="35"/>
      <c r="BA329" s="22"/>
      <c r="BB329" s="22"/>
      <c r="BC329" s="23"/>
      <c r="BD329" s="22"/>
      <c r="BE329" s="22"/>
      <c r="BF329" s="22"/>
      <c r="BG329" s="22"/>
      <c r="BH329" s="22"/>
      <c r="BI329" s="22"/>
      <c r="BJ329" s="22"/>
      <c r="BK329" s="22"/>
      <c r="BL329" s="22"/>
      <c r="BM329" s="22"/>
    </row>
    <row r="330" spans="2:65">
      <c r="B330" s="20"/>
      <c r="D330" s="19"/>
      <c r="E330" s="22"/>
      <c r="F330" s="22"/>
      <c r="G330" s="22"/>
      <c r="H330" s="22"/>
      <c r="I330" s="23"/>
      <c r="J330" s="24"/>
      <c r="K330" s="23"/>
      <c r="L330" s="24"/>
      <c r="M330" s="23"/>
      <c r="N330" s="24"/>
      <c r="O330" s="23"/>
      <c r="P330" s="24"/>
      <c r="Q330" s="23"/>
      <c r="R330" s="23"/>
      <c r="S330" s="23"/>
      <c r="T330" s="23"/>
      <c r="U330" s="23"/>
      <c r="V330" s="23"/>
      <c r="W330" s="23"/>
      <c r="X330" s="23"/>
      <c r="AO330" s="34"/>
      <c r="AP330" s="22"/>
      <c r="AQ330" s="22"/>
      <c r="AR330" s="22"/>
      <c r="AS330" s="34"/>
      <c r="AT330" s="34"/>
      <c r="AV330" s="34"/>
      <c r="AX330" s="35"/>
      <c r="AY330" s="35"/>
      <c r="AZ330" s="35"/>
      <c r="BA330" s="22"/>
      <c r="BB330" s="22"/>
      <c r="BC330" s="23"/>
      <c r="BD330" s="22"/>
      <c r="BE330" s="22"/>
      <c r="BF330" s="22"/>
      <c r="BG330" s="22"/>
      <c r="BH330" s="22"/>
      <c r="BI330" s="22"/>
      <c r="BJ330" s="22"/>
      <c r="BK330" s="22"/>
      <c r="BL330" s="22"/>
      <c r="BM330" s="22"/>
    </row>
    <row r="331" spans="2:65">
      <c r="B331" s="20"/>
      <c r="D331" s="19"/>
      <c r="E331" s="22"/>
      <c r="F331" s="22"/>
      <c r="G331" s="22"/>
      <c r="H331" s="22"/>
      <c r="I331" s="23"/>
      <c r="J331" s="24"/>
      <c r="K331" s="23"/>
      <c r="L331" s="24"/>
      <c r="M331" s="23"/>
      <c r="N331" s="24"/>
      <c r="O331" s="23"/>
      <c r="P331" s="24"/>
      <c r="Q331" s="23"/>
      <c r="R331" s="23"/>
      <c r="S331" s="23"/>
      <c r="T331" s="23"/>
      <c r="U331" s="23"/>
      <c r="V331" s="23"/>
      <c r="W331" s="23"/>
      <c r="X331" s="23"/>
      <c r="AO331" s="34"/>
      <c r="AP331" s="22"/>
      <c r="AQ331" s="22"/>
      <c r="AR331" s="22"/>
      <c r="AS331" s="34"/>
      <c r="AT331" s="34"/>
      <c r="AV331" s="34"/>
      <c r="AX331" s="35"/>
      <c r="AY331" s="35"/>
      <c r="AZ331" s="35"/>
      <c r="BA331" s="22"/>
      <c r="BB331" s="22"/>
      <c r="BC331" s="23"/>
      <c r="BD331" s="22"/>
      <c r="BE331" s="22"/>
      <c r="BF331" s="22"/>
      <c r="BG331" s="22"/>
      <c r="BH331" s="22"/>
      <c r="BI331" s="22"/>
      <c r="BJ331" s="22"/>
      <c r="BK331" s="22"/>
      <c r="BL331" s="22"/>
      <c r="BM331" s="22"/>
    </row>
    <row r="332" spans="2:65">
      <c r="B332" s="20"/>
      <c r="D332" s="19"/>
      <c r="E332" s="22"/>
      <c r="F332" s="22"/>
      <c r="G332" s="22"/>
      <c r="H332" s="22"/>
      <c r="I332" s="23"/>
      <c r="J332" s="24"/>
      <c r="K332" s="23"/>
      <c r="L332" s="24"/>
      <c r="M332" s="23"/>
      <c r="N332" s="24"/>
      <c r="O332" s="23"/>
      <c r="P332" s="24"/>
      <c r="Q332" s="23"/>
      <c r="R332" s="23"/>
      <c r="S332" s="23"/>
      <c r="T332" s="23"/>
      <c r="U332" s="23"/>
      <c r="V332" s="23"/>
      <c r="W332" s="23"/>
      <c r="X332" s="23"/>
      <c r="AO332" s="34"/>
      <c r="AP332" s="22"/>
      <c r="AQ332" s="22"/>
      <c r="AR332" s="22"/>
      <c r="AS332" s="34"/>
      <c r="AT332" s="34"/>
      <c r="AV332" s="34"/>
      <c r="AX332" s="35"/>
      <c r="AY332" s="35"/>
      <c r="AZ332" s="35"/>
      <c r="BA332" s="22"/>
      <c r="BB332" s="22"/>
      <c r="BC332" s="23"/>
      <c r="BD332" s="22"/>
      <c r="BE332" s="22"/>
      <c r="BF332" s="22"/>
      <c r="BG332" s="22"/>
      <c r="BH332" s="22"/>
      <c r="BI332" s="22"/>
      <c r="BJ332" s="22"/>
      <c r="BK332" s="22"/>
      <c r="BL332" s="22"/>
      <c r="BM332" s="22"/>
    </row>
    <row r="333" spans="2:65">
      <c r="B333" s="20"/>
      <c r="D333" s="19"/>
      <c r="E333" s="22"/>
      <c r="F333" s="22"/>
      <c r="G333" s="22"/>
      <c r="H333" s="22"/>
      <c r="I333" s="23"/>
      <c r="J333" s="24"/>
      <c r="K333" s="23"/>
      <c r="L333" s="24"/>
      <c r="M333" s="23"/>
      <c r="N333" s="24"/>
      <c r="O333" s="23"/>
      <c r="P333" s="24"/>
      <c r="Q333" s="23"/>
      <c r="R333" s="23"/>
      <c r="S333" s="23"/>
      <c r="T333" s="23"/>
      <c r="U333" s="23"/>
      <c r="V333" s="23"/>
      <c r="W333" s="23"/>
      <c r="X333" s="23"/>
      <c r="AO333" s="34"/>
      <c r="AP333" s="22"/>
      <c r="AQ333" s="22"/>
      <c r="AR333" s="22"/>
      <c r="AS333" s="34"/>
      <c r="AT333" s="34"/>
      <c r="AV333" s="34"/>
      <c r="AX333" s="35"/>
      <c r="AY333" s="35"/>
      <c r="AZ333" s="35"/>
      <c r="BA333" s="22"/>
      <c r="BB333" s="22"/>
      <c r="BC333" s="23"/>
      <c r="BD333" s="22"/>
      <c r="BE333" s="22"/>
      <c r="BF333" s="22"/>
      <c r="BG333" s="22"/>
      <c r="BH333" s="22"/>
      <c r="BI333" s="22"/>
      <c r="BJ333" s="22"/>
      <c r="BK333" s="22"/>
      <c r="BL333" s="22"/>
      <c r="BM333" s="22"/>
    </row>
    <row r="334" spans="2:65">
      <c r="B334" s="20"/>
      <c r="D334" s="19"/>
      <c r="E334" s="22"/>
      <c r="F334" s="22"/>
      <c r="G334" s="22"/>
      <c r="H334" s="22"/>
      <c r="I334" s="23"/>
      <c r="J334" s="24"/>
      <c r="K334" s="23"/>
      <c r="L334" s="24"/>
      <c r="M334" s="23"/>
      <c r="N334" s="24"/>
      <c r="O334" s="23"/>
      <c r="P334" s="24"/>
      <c r="Q334" s="23"/>
      <c r="R334" s="23"/>
      <c r="S334" s="23"/>
      <c r="T334" s="23"/>
      <c r="U334" s="23"/>
      <c r="V334" s="23"/>
      <c r="W334" s="23"/>
      <c r="X334" s="23"/>
      <c r="AO334" s="34"/>
      <c r="AP334" s="22"/>
      <c r="AQ334" s="22"/>
      <c r="AR334" s="22"/>
      <c r="AS334" s="34"/>
      <c r="AT334" s="34"/>
      <c r="AV334" s="34"/>
      <c r="AX334" s="35"/>
      <c r="AY334" s="35"/>
      <c r="AZ334" s="35"/>
      <c r="BA334" s="22"/>
      <c r="BB334" s="22"/>
      <c r="BC334" s="23"/>
      <c r="BD334" s="22"/>
      <c r="BE334" s="22"/>
      <c r="BF334" s="22"/>
      <c r="BG334" s="22"/>
      <c r="BH334" s="22"/>
      <c r="BI334" s="22"/>
      <c r="BJ334" s="22"/>
      <c r="BK334" s="22"/>
      <c r="BL334" s="22"/>
      <c r="BM334" s="22"/>
    </row>
    <row r="335" spans="2:65">
      <c r="B335" s="20"/>
      <c r="D335" s="19"/>
      <c r="E335" s="22"/>
      <c r="F335" s="22"/>
      <c r="G335" s="22"/>
      <c r="H335" s="22"/>
      <c r="I335" s="23"/>
      <c r="J335" s="24"/>
      <c r="K335" s="23"/>
      <c r="L335" s="24"/>
      <c r="M335" s="23"/>
      <c r="N335" s="24"/>
      <c r="O335" s="23"/>
      <c r="P335" s="24"/>
      <c r="Q335" s="23"/>
      <c r="R335" s="23"/>
      <c r="S335" s="23"/>
      <c r="T335" s="23"/>
      <c r="U335" s="23"/>
      <c r="V335" s="23"/>
      <c r="W335" s="23"/>
      <c r="X335" s="23"/>
      <c r="AO335" s="34"/>
      <c r="AP335" s="22"/>
      <c r="AQ335" s="22"/>
      <c r="AR335" s="22"/>
      <c r="AS335" s="34"/>
      <c r="AT335" s="34"/>
      <c r="AV335" s="34"/>
      <c r="AX335" s="35"/>
      <c r="AY335" s="35"/>
      <c r="AZ335" s="35"/>
      <c r="BA335" s="22"/>
      <c r="BB335" s="22"/>
      <c r="BC335" s="23"/>
      <c r="BD335" s="22"/>
      <c r="BE335" s="22"/>
      <c r="BF335" s="22"/>
      <c r="BG335" s="22"/>
      <c r="BH335" s="22"/>
      <c r="BI335" s="22"/>
      <c r="BJ335" s="22"/>
      <c r="BK335" s="22"/>
      <c r="BL335" s="22"/>
      <c r="BM335" s="22"/>
    </row>
    <row r="336" spans="2:65">
      <c r="B336" s="20"/>
      <c r="D336" s="19"/>
      <c r="E336" s="22"/>
      <c r="F336" s="22"/>
      <c r="G336" s="22"/>
      <c r="H336" s="22"/>
      <c r="I336" s="23"/>
      <c r="J336" s="24"/>
      <c r="K336" s="23"/>
      <c r="L336" s="24"/>
      <c r="M336" s="23"/>
      <c r="N336" s="24"/>
      <c r="O336" s="23"/>
      <c r="P336" s="24"/>
      <c r="Q336" s="23"/>
      <c r="R336" s="23"/>
      <c r="S336" s="23"/>
      <c r="T336" s="23"/>
      <c r="U336" s="23"/>
      <c r="V336" s="23"/>
      <c r="W336" s="23"/>
      <c r="X336" s="23"/>
      <c r="AO336" s="34"/>
      <c r="AP336" s="22"/>
      <c r="AQ336" s="22"/>
      <c r="AR336" s="22"/>
      <c r="AS336" s="34"/>
      <c r="AT336" s="34"/>
      <c r="AV336" s="34"/>
      <c r="AX336" s="35"/>
      <c r="AY336" s="35"/>
      <c r="AZ336" s="35"/>
      <c r="BA336" s="22"/>
      <c r="BB336" s="22"/>
      <c r="BC336" s="23"/>
      <c r="BD336" s="22"/>
      <c r="BE336" s="22"/>
      <c r="BF336" s="22"/>
      <c r="BG336" s="22"/>
      <c r="BH336" s="22"/>
      <c r="BI336" s="22"/>
      <c r="BJ336" s="22"/>
      <c r="BK336" s="22"/>
      <c r="BL336" s="22"/>
      <c r="BM336" s="22"/>
    </row>
    <row r="337" spans="2:65">
      <c r="B337" s="20"/>
      <c r="D337" s="19"/>
      <c r="E337" s="22"/>
      <c r="F337" s="22"/>
      <c r="G337" s="22"/>
      <c r="H337" s="22"/>
      <c r="I337" s="23"/>
      <c r="J337" s="24"/>
      <c r="K337" s="23"/>
      <c r="L337" s="24"/>
      <c r="M337" s="23"/>
      <c r="N337" s="24"/>
      <c r="O337" s="23"/>
      <c r="P337" s="24"/>
      <c r="Q337" s="23"/>
      <c r="R337" s="23"/>
      <c r="S337" s="23"/>
      <c r="T337" s="23"/>
      <c r="U337" s="23"/>
      <c r="V337" s="23"/>
      <c r="W337" s="23"/>
      <c r="X337" s="23"/>
      <c r="AO337" s="34"/>
      <c r="AP337" s="22"/>
      <c r="AQ337" s="22"/>
      <c r="AR337" s="22"/>
      <c r="AS337" s="34"/>
      <c r="AT337" s="34"/>
      <c r="AV337" s="34"/>
      <c r="AX337" s="35"/>
      <c r="AY337" s="35"/>
      <c r="AZ337" s="35"/>
      <c r="BA337" s="22"/>
      <c r="BB337" s="22"/>
      <c r="BC337" s="23"/>
      <c r="BD337" s="22"/>
      <c r="BE337" s="22"/>
      <c r="BF337" s="22"/>
      <c r="BG337" s="22"/>
      <c r="BH337" s="22"/>
      <c r="BI337" s="22"/>
      <c r="BJ337" s="22"/>
      <c r="BK337" s="22"/>
      <c r="BL337" s="22"/>
      <c r="BM337" s="22"/>
    </row>
    <row r="338" spans="2:65">
      <c r="B338" s="20"/>
      <c r="D338" s="19"/>
      <c r="E338" s="22"/>
      <c r="F338" s="22"/>
      <c r="G338" s="22"/>
      <c r="H338" s="22"/>
      <c r="I338" s="23"/>
      <c r="J338" s="24"/>
      <c r="K338" s="23"/>
      <c r="L338" s="24"/>
      <c r="M338" s="23"/>
      <c r="N338" s="24"/>
      <c r="O338" s="23"/>
      <c r="P338" s="24"/>
      <c r="Q338" s="23"/>
      <c r="R338" s="23"/>
      <c r="S338" s="23"/>
      <c r="T338" s="23"/>
      <c r="U338" s="23"/>
      <c r="V338" s="23"/>
      <c r="W338" s="23"/>
      <c r="X338" s="23"/>
      <c r="AO338" s="34"/>
      <c r="AP338" s="22"/>
      <c r="AQ338" s="22"/>
      <c r="AR338" s="22"/>
      <c r="AS338" s="34"/>
      <c r="AT338" s="34"/>
      <c r="AV338" s="34"/>
      <c r="AX338" s="35"/>
      <c r="AY338" s="35"/>
      <c r="AZ338" s="35"/>
      <c r="BA338" s="22"/>
      <c r="BB338" s="22"/>
      <c r="BC338" s="23"/>
      <c r="BD338" s="22"/>
      <c r="BE338" s="22"/>
      <c r="BF338" s="22"/>
      <c r="BG338" s="22"/>
      <c r="BH338" s="22"/>
      <c r="BI338" s="22"/>
      <c r="BJ338" s="22"/>
      <c r="BK338" s="22"/>
      <c r="BL338" s="22"/>
      <c r="BM338" s="22"/>
    </row>
    <row r="339" spans="2:65">
      <c r="B339" s="20"/>
      <c r="D339" s="19"/>
      <c r="E339" s="22"/>
      <c r="F339" s="22"/>
      <c r="G339" s="22"/>
      <c r="H339" s="22"/>
      <c r="I339" s="23"/>
      <c r="J339" s="24"/>
      <c r="K339" s="23"/>
      <c r="L339" s="24"/>
      <c r="M339" s="23"/>
      <c r="N339" s="24"/>
      <c r="O339" s="23"/>
      <c r="P339" s="24"/>
      <c r="Q339" s="23"/>
      <c r="R339" s="23"/>
      <c r="S339" s="23"/>
      <c r="T339" s="23"/>
      <c r="U339" s="23"/>
      <c r="V339" s="23"/>
      <c r="W339" s="23"/>
      <c r="X339" s="23"/>
      <c r="AO339" s="34"/>
      <c r="AP339" s="22"/>
      <c r="AQ339" s="22"/>
      <c r="AR339" s="22"/>
      <c r="AS339" s="34"/>
      <c r="AT339" s="34"/>
      <c r="AV339" s="34"/>
      <c r="AX339" s="35"/>
      <c r="AY339" s="35"/>
      <c r="AZ339" s="35"/>
      <c r="BA339" s="22"/>
      <c r="BB339" s="22"/>
      <c r="BC339" s="23"/>
      <c r="BD339" s="22"/>
      <c r="BE339" s="22"/>
      <c r="BF339" s="22"/>
      <c r="BG339" s="22"/>
      <c r="BH339" s="22"/>
      <c r="BI339" s="22"/>
      <c r="BJ339" s="22"/>
      <c r="BK339" s="22"/>
      <c r="BL339" s="22"/>
      <c r="BM339" s="22"/>
    </row>
    <row r="340" spans="2:65">
      <c r="B340" s="20"/>
      <c r="D340" s="19"/>
      <c r="E340" s="22"/>
      <c r="F340" s="22"/>
      <c r="G340" s="22"/>
      <c r="H340" s="22"/>
      <c r="I340" s="23"/>
      <c r="J340" s="24"/>
      <c r="K340" s="23"/>
      <c r="L340" s="24"/>
      <c r="M340" s="23"/>
      <c r="N340" s="24"/>
      <c r="O340" s="23"/>
      <c r="P340" s="24"/>
      <c r="Q340" s="23"/>
      <c r="R340" s="23"/>
      <c r="S340" s="23"/>
      <c r="T340" s="23"/>
      <c r="U340" s="23"/>
      <c r="V340" s="23"/>
      <c r="W340" s="23"/>
      <c r="X340" s="23"/>
      <c r="AO340" s="34"/>
      <c r="AP340" s="22"/>
      <c r="AQ340" s="22"/>
      <c r="AR340" s="22"/>
      <c r="AS340" s="34"/>
      <c r="AT340" s="34"/>
      <c r="AV340" s="34"/>
      <c r="AX340" s="35"/>
      <c r="AY340" s="35"/>
      <c r="AZ340" s="35"/>
      <c r="BA340" s="22"/>
      <c r="BB340" s="22"/>
      <c r="BC340" s="23"/>
      <c r="BD340" s="22"/>
      <c r="BE340" s="22"/>
      <c r="BF340" s="22"/>
      <c r="BG340" s="22"/>
      <c r="BH340" s="22"/>
      <c r="BI340" s="22"/>
      <c r="BJ340" s="22"/>
      <c r="BK340" s="22"/>
      <c r="BL340" s="22"/>
      <c r="BM340" s="22"/>
    </row>
    <row r="341" spans="2:65">
      <c r="B341" s="20"/>
      <c r="D341" s="19"/>
      <c r="E341" s="22"/>
      <c r="F341" s="22"/>
      <c r="G341" s="22"/>
      <c r="H341" s="22"/>
      <c r="I341" s="23"/>
      <c r="J341" s="24"/>
      <c r="K341" s="23"/>
      <c r="L341" s="24"/>
      <c r="M341" s="23"/>
      <c r="N341" s="24"/>
      <c r="O341" s="23"/>
      <c r="P341" s="24"/>
      <c r="Q341" s="23"/>
      <c r="R341" s="23"/>
      <c r="S341" s="23"/>
      <c r="T341" s="23"/>
      <c r="U341" s="23"/>
      <c r="V341" s="23"/>
      <c r="W341" s="23"/>
      <c r="X341" s="23"/>
      <c r="AO341" s="34"/>
      <c r="AP341" s="22"/>
      <c r="AQ341" s="22"/>
      <c r="AR341" s="22"/>
      <c r="AS341" s="34"/>
      <c r="AT341" s="34"/>
      <c r="AV341" s="34"/>
      <c r="AX341" s="35"/>
      <c r="AY341" s="35"/>
      <c r="AZ341" s="35"/>
      <c r="BA341" s="22"/>
      <c r="BB341" s="22"/>
      <c r="BC341" s="23"/>
      <c r="BD341" s="22"/>
      <c r="BE341" s="22"/>
      <c r="BF341" s="22"/>
      <c r="BG341" s="22"/>
      <c r="BH341" s="22"/>
      <c r="BI341" s="22"/>
      <c r="BJ341" s="22"/>
      <c r="BK341" s="22"/>
      <c r="BL341" s="22"/>
      <c r="BM341" s="22"/>
    </row>
    <row r="342" spans="2:65">
      <c r="B342" s="20"/>
      <c r="D342" s="19"/>
      <c r="E342" s="22"/>
      <c r="F342" s="22"/>
      <c r="G342" s="22"/>
      <c r="H342" s="22"/>
      <c r="I342" s="23"/>
      <c r="J342" s="24"/>
      <c r="K342" s="23"/>
      <c r="L342" s="24"/>
      <c r="M342" s="23"/>
      <c r="N342" s="24"/>
      <c r="O342" s="23"/>
      <c r="P342" s="24"/>
      <c r="Q342" s="23"/>
      <c r="R342" s="23"/>
      <c r="S342" s="23"/>
      <c r="T342" s="23"/>
      <c r="U342" s="23"/>
      <c r="V342" s="23"/>
      <c r="W342" s="23"/>
      <c r="X342" s="23"/>
      <c r="AO342" s="34"/>
      <c r="AP342" s="22"/>
      <c r="AQ342" s="22"/>
      <c r="AR342" s="22"/>
      <c r="AS342" s="34"/>
      <c r="AT342" s="34"/>
      <c r="AV342" s="34"/>
      <c r="AX342" s="35"/>
      <c r="AY342" s="35"/>
      <c r="AZ342" s="35"/>
      <c r="BA342" s="22"/>
      <c r="BB342" s="22"/>
      <c r="BC342" s="23"/>
      <c r="BD342" s="22"/>
      <c r="BE342" s="22"/>
      <c r="BF342" s="22"/>
      <c r="BG342" s="22"/>
      <c r="BH342" s="22"/>
      <c r="BI342" s="22"/>
      <c r="BJ342" s="22"/>
      <c r="BK342" s="22"/>
      <c r="BL342" s="22"/>
      <c r="BM342" s="22"/>
    </row>
    <row r="343" spans="2:65">
      <c r="B343" s="20"/>
      <c r="D343" s="19"/>
      <c r="E343" s="22"/>
      <c r="F343" s="22"/>
      <c r="G343" s="22"/>
      <c r="H343" s="22"/>
      <c r="I343" s="23"/>
      <c r="J343" s="24"/>
      <c r="K343" s="23"/>
      <c r="L343" s="24"/>
      <c r="M343" s="23"/>
      <c r="N343" s="24"/>
      <c r="O343" s="23"/>
      <c r="P343" s="24"/>
      <c r="Q343" s="23"/>
      <c r="R343" s="23"/>
      <c r="S343" s="23"/>
      <c r="T343" s="23"/>
      <c r="U343" s="23"/>
      <c r="V343" s="23"/>
      <c r="W343" s="23"/>
      <c r="X343" s="23"/>
      <c r="AO343" s="34"/>
      <c r="AP343" s="22"/>
      <c r="AQ343" s="22"/>
      <c r="AR343" s="22"/>
      <c r="AS343" s="34"/>
      <c r="AT343" s="34"/>
      <c r="AV343" s="34"/>
      <c r="AX343" s="35"/>
      <c r="AY343" s="35"/>
      <c r="AZ343" s="35"/>
      <c r="BA343" s="22"/>
      <c r="BB343" s="22"/>
      <c r="BC343" s="23"/>
      <c r="BD343" s="22"/>
      <c r="BE343" s="22"/>
      <c r="BF343" s="22"/>
      <c r="BG343" s="22"/>
      <c r="BH343" s="22"/>
      <c r="BI343" s="22"/>
      <c r="BJ343" s="22"/>
      <c r="BK343" s="22"/>
      <c r="BL343" s="22"/>
      <c r="BM343" s="22"/>
    </row>
    <row r="344" spans="2:65">
      <c r="B344" s="20"/>
      <c r="D344" s="19"/>
      <c r="E344" s="22"/>
      <c r="F344" s="22"/>
      <c r="G344" s="22"/>
      <c r="H344" s="22"/>
      <c r="I344" s="23"/>
      <c r="J344" s="24"/>
      <c r="K344" s="23"/>
      <c r="L344" s="24"/>
      <c r="M344" s="23"/>
      <c r="N344" s="24"/>
      <c r="O344" s="23"/>
      <c r="P344" s="24"/>
      <c r="Q344" s="23"/>
      <c r="R344" s="23"/>
      <c r="S344" s="23"/>
      <c r="T344" s="23"/>
      <c r="U344" s="23"/>
      <c r="V344" s="23"/>
      <c r="W344" s="23"/>
      <c r="X344" s="23"/>
      <c r="AO344" s="34"/>
      <c r="AP344" s="22"/>
      <c r="AQ344" s="22"/>
      <c r="AR344" s="22"/>
      <c r="AS344" s="34"/>
      <c r="AT344" s="34"/>
      <c r="AV344" s="34"/>
      <c r="AX344" s="35"/>
      <c r="AY344" s="35"/>
      <c r="AZ344" s="35"/>
      <c r="BA344" s="22"/>
      <c r="BB344" s="22"/>
      <c r="BC344" s="23"/>
      <c r="BD344" s="22"/>
      <c r="BE344" s="22"/>
      <c r="BF344" s="22"/>
      <c r="BG344" s="22"/>
      <c r="BH344" s="22"/>
      <c r="BI344" s="22"/>
      <c r="BJ344" s="22"/>
      <c r="BK344" s="22"/>
      <c r="BL344" s="22"/>
      <c r="BM344" s="22"/>
    </row>
    <row r="345" spans="2:65">
      <c r="B345" s="20"/>
      <c r="D345" s="19"/>
      <c r="E345" s="22"/>
      <c r="F345" s="22"/>
      <c r="G345" s="22"/>
      <c r="H345" s="22"/>
      <c r="I345" s="23"/>
      <c r="J345" s="24"/>
      <c r="K345" s="23"/>
      <c r="L345" s="24"/>
      <c r="M345" s="23"/>
      <c r="N345" s="24"/>
      <c r="O345" s="23"/>
      <c r="P345" s="24"/>
      <c r="Q345" s="23"/>
      <c r="R345" s="23"/>
      <c r="S345" s="23"/>
      <c r="T345" s="23"/>
      <c r="U345" s="23"/>
      <c r="V345" s="23"/>
      <c r="W345" s="23"/>
      <c r="X345" s="23"/>
      <c r="AO345" s="34"/>
      <c r="AP345" s="22"/>
      <c r="AQ345" s="22"/>
      <c r="AR345" s="22"/>
      <c r="AS345" s="34"/>
      <c r="AT345" s="34"/>
      <c r="AV345" s="34"/>
      <c r="AX345" s="35"/>
      <c r="AY345" s="35"/>
      <c r="AZ345" s="35"/>
      <c r="BA345" s="22"/>
      <c r="BB345" s="22"/>
      <c r="BC345" s="23"/>
      <c r="BD345" s="22"/>
      <c r="BE345" s="22"/>
      <c r="BF345" s="22"/>
      <c r="BG345" s="22"/>
      <c r="BH345" s="22"/>
      <c r="BI345" s="22"/>
      <c r="BJ345" s="22"/>
      <c r="BK345" s="22"/>
      <c r="BL345" s="22"/>
      <c r="BM345" s="22"/>
    </row>
    <row r="346" spans="2:65">
      <c r="B346" s="20"/>
      <c r="D346" s="19"/>
      <c r="E346" s="22"/>
      <c r="F346" s="22"/>
      <c r="G346" s="22"/>
      <c r="H346" s="22"/>
      <c r="I346" s="23"/>
      <c r="J346" s="24"/>
      <c r="K346" s="23"/>
      <c r="L346" s="24"/>
      <c r="M346" s="23"/>
      <c r="N346" s="24"/>
      <c r="O346" s="23"/>
      <c r="P346" s="24"/>
      <c r="Q346" s="23"/>
      <c r="R346" s="23"/>
      <c r="S346" s="23"/>
      <c r="T346" s="23"/>
      <c r="U346" s="23"/>
      <c r="V346" s="23"/>
      <c r="W346" s="23"/>
      <c r="X346" s="23"/>
      <c r="AO346" s="34"/>
      <c r="AP346" s="22"/>
      <c r="AQ346" s="22"/>
      <c r="AR346" s="22"/>
      <c r="AS346" s="34"/>
      <c r="AT346" s="34"/>
      <c r="AV346" s="34"/>
      <c r="AX346" s="35"/>
      <c r="AY346" s="35"/>
      <c r="AZ346" s="35"/>
      <c r="BA346" s="22"/>
      <c r="BB346" s="22"/>
      <c r="BC346" s="23"/>
      <c r="BD346" s="22"/>
      <c r="BE346" s="22"/>
      <c r="BF346" s="22"/>
      <c r="BG346" s="22"/>
      <c r="BH346" s="22"/>
      <c r="BI346" s="22"/>
      <c r="BJ346" s="22"/>
      <c r="BK346" s="22"/>
      <c r="BL346" s="22"/>
      <c r="BM346" s="22"/>
    </row>
    <row r="347" spans="2:65">
      <c r="B347" s="20"/>
      <c r="D347" s="19"/>
      <c r="E347" s="22"/>
      <c r="F347" s="22"/>
      <c r="G347" s="22"/>
      <c r="H347" s="22"/>
      <c r="I347" s="23"/>
      <c r="J347" s="24"/>
      <c r="K347" s="23"/>
      <c r="L347" s="24"/>
      <c r="M347" s="23"/>
      <c r="N347" s="24"/>
      <c r="O347" s="23"/>
      <c r="P347" s="24"/>
      <c r="Q347" s="23"/>
      <c r="R347" s="23"/>
      <c r="S347" s="23"/>
      <c r="T347" s="23"/>
      <c r="U347" s="23"/>
      <c r="V347" s="23"/>
      <c r="W347" s="23"/>
      <c r="X347" s="23"/>
      <c r="AO347" s="34"/>
      <c r="AP347" s="22"/>
      <c r="AQ347" s="22"/>
      <c r="AR347" s="22"/>
      <c r="AS347" s="34"/>
      <c r="AT347" s="34"/>
      <c r="AV347" s="34"/>
      <c r="AX347" s="35"/>
      <c r="AY347" s="35"/>
      <c r="AZ347" s="35"/>
      <c r="BA347" s="22"/>
      <c r="BB347" s="22"/>
      <c r="BC347" s="23"/>
      <c r="BD347" s="22"/>
      <c r="BE347" s="22"/>
      <c r="BF347" s="22"/>
      <c r="BG347" s="22"/>
      <c r="BH347" s="22"/>
      <c r="BI347" s="22"/>
      <c r="BJ347" s="22"/>
      <c r="BK347" s="22"/>
      <c r="BL347" s="22"/>
      <c r="BM347" s="22"/>
    </row>
    <row r="348" spans="2:65">
      <c r="B348" s="20"/>
      <c r="D348" s="19"/>
      <c r="E348" s="22"/>
      <c r="F348" s="22"/>
      <c r="G348" s="22"/>
      <c r="H348" s="22"/>
      <c r="I348" s="23"/>
      <c r="J348" s="24"/>
      <c r="K348" s="23"/>
      <c r="L348" s="24"/>
      <c r="M348" s="23"/>
      <c r="N348" s="24"/>
      <c r="O348" s="23"/>
      <c r="P348" s="24"/>
      <c r="Q348" s="23"/>
      <c r="R348" s="23"/>
      <c r="S348" s="23"/>
      <c r="T348" s="23"/>
      <c r="U348" s="23"/>
      <c r="V348" s="23"/>
      <c r="W348" s="23"/>
      <c r="X348" s="23"/>
      <c r="AO348" s="34"/>
      <c r="AP348" s="22"/>
      <c r="AQ348" s="22"/>
      <c r="AR348" s="22"/>
      <c r="AS348" s="34"/>
      <c r="AT348" s="34"/>
      <c r="AV348" s="34"/>
      <c r="AX348" s="35"/>
      <c r="AY348" s="35"/>
      <c r="AZ348" s="35"/>
      <c r="BA348" s="22"/>
      <c r="BB348" s="22"/>
      <c r="BC348" s="23"/>
      <c r="BD348" s="22"/>
      <c r="BE348" s="22"/>
      <c r="BF348" s="22"/>
      <c r="BG348" s="22"/>
      <c r="BH348" s="22"/>
      <c r="BI348" s="22"/>
      <c r="BJ348" s="22"/>
      <c r="BK348" s="22"/>
      <c r="BL348" s="22"/>
      <c r="BM348" s="22"/>
    </row>
    <row r="349" spans="2:65">
      <c r="B349" s="20"/>
      <c r="D349" s="19"/>
      <c r="E349" s="22"/>
      <c r="F349" s="22"/>
      <c r="G349" s="22"/>
      <c r="H349" s="22"/>
      <c r="I349" s="23"/>
      <c r="J349" s="24"/>
      <c r="K349" s="23"/>
      <c r="L349" s="24"/>
      <c r="M349" s="23"/>
      <c r="N349" s="24"/>
      <c r="O349" s="23"/>
      <c r="P349" s="24"/>
      <c r="Q349" s="23"/>
      <c r="R349" s="23"/>
      <c r="S349" s="23"/>
      <c r="T349" s="23"/>
      <c r="U349" s="23"/>
      <c r="V349" s="23"/>
      <c r="W349" s="23"/>
      <c r="X349" s="23"/>
      <c r="AO349" s="34"/>
      <c r="AP349" s="22"/>
      <c r="AQ349" s="22"/>
      <c r="AR349" s="22"/>
      <c r="AS349" s="34"/>
      <c r="AT349" s="34"/>
      <c r="AV349" s="34"/>
      <c r="AX349" s="35"/>
      <c r="AY349" s="35"/>
      <c r="AZ349" s="35"/>
      <c r="BA349" s="22"/>
      <c r="BB349" s="22"/>
      <c r="BC349" s="23"/>
      <c r="BD349" s="22"/>
      <c r="BE349" s="22"/>
      <c r="BF349" s="22"/>
      <c r="BG349" s="22"/>
      <c r="BH349" s="22"/>
      <c r="BI349" s="22"/>
      <c r="BJ349" s="22"/>
      <c r="BK349" s="22"/>
      <c r="BL349" s="22"/>
      <c r="BM349" s="22"/>
    </row>
    <row r="350" spans="2:65">
      <c r="B350" s="20"/>
      <c r="D350" s="19"/>
      <c r="E350" s="22"/>
      <c r="F350" s="22"/>
      <c r="G350" s="22"/>
      <c r="H350" s="22"/>
      <c r="I350" s="23"/>
      <c r="J350" s="24"/>
      <c r="K350" s="23"/>
      <c r="L350" s="24"/>
      <c r="M350" s="23"/>
      <c r="N350" s="24"/>
      <c r="O350" s="23"/>
      <c r="P350" s="24"/>
      <c r="Q350" s="23"/>
      <c r="R350" s="23"/>
      <c r="S350" s="23"/>
      <c r="T350" s="23"/>
      <c r="U350" s="23"/>
      <c r="V350" s="23"/>
      <c r="W350" s="23"/>
      <c r="X350" s="23"/>
      <c r="AO350" s="34"/>
      <c r="AP350" s="22"/>
      <c r="AQ350" s="22"/>
      <c r="AR350" s="22"/>
      <c r="AS350" s="34"/>
      <c r="AT350" s="34"/>
      <c r="AV350" s="34"/>
      <c r="AX350" s="35"/>
      <c r="AY350" s="35"/>
      <c r="AZ350" s="35"/>
      <c r="BA350" s="22"/>
      <c r="BB350" s="22"/>
      <c r="BC350" s="23"/>
      <c r="BD350" s="22"/>
      <c r="BE350" s="22"/>
      <c r="BF350" s="22"/>
      <c r="BG350" s="22"/>
      <c r="BH350" s="22"/>
      <c r="BI350" s="22"/>
      <c r="BJ350" s="22"/>
      <c r="BK350" s="22"/>
      <c r="BL350" s="22"/>
      <c r="BM350" s="22"/>
    </row>
    <row r="351" spans="2:65">
      <c r="B351" s="20"/>
      <c r="D351" s="19"/>
      <c r="E351" s="22"/>
      <c r="F351" s="22"/>
      <c r="G351" s="22"/>
      <c r="H351" s="22"/>
      <c r="I351" s="23"/>
      <c r="J351" s="24"/>
      <c r="K351" s="23"/>
      <c r="L351" s="24"/>
      <c r="M351" s="23"/>
      <c r="N351" s="24"/>
      <c r="O351" s="23"/>
      <c r="P351" s="24"/>
      <c r="Q351" s="23"/>
      <c r="R351" s="23"/>
      <c r="S351" s="23"/>
      <c r="T351" s="23"/>
      <c r="U351" s="23"/>
      <c r="V351" s="23"/>
      <c r="W351" s="23"/>
      <c r="X351" s="23"/>
      <c r="AO351" s="34"/>
      <c r="AP351" s="22"/>
      <c r="AQ351" s="22"/>
      <c r="AR351" s="22"/>
      <c r="AS351" s="34"/>
      <c r="AT351" s="34"/>
      <c r="AV351" s="34"/>
      <c r="AX351" s="35"/>
      <c r="AY351" s="35"/>
      <c r="AZ351" s="35"/>
      <c r="BA351" s="22"/>
      <c r="BB351" s="22"/>
      <c r="BC351" s="23"/>
      <c r="BD351" s="22"/>
      <c r="BE351" s="22"/>
      <c r="BF351" s="22"/>
      <c r="BG351" s="22"/>
      <c r="BH351" s="22"/>
      <c r="BI351" s="22"/>
      <c r="BJ351" s="22"/>
      <c r="BK351" s="22"/>
      <c r="BL351" s="22"/>
      <c r="BM351" s="22"/>
    </row>
    <row r="352" spans="2:65">
      <c r="B352" s="20"/>
      <c r="D352" s="19"/>
      <c r="E352" s="22"/>
      <c r="F352" s="22"/>
      <c r="G352" s="22"/>
      <c r="H352" s="22"/>
      <c r="I352" s="23"/>
      <c r="J352" s="24"/>
      <c r="K352" s="23"/>
      <c r="L352" s="24"/>
      <c r="M352" s="23"/>
      <c r="N352" s="24"/>
      <c r="O352" s="23"/>
      <c r="P352" s="24"/>
      <c r="Q352" s="23"/>
      <c r="R352" s="23"/>
      <c r="S352" s="23"/>
      <c r="T352" s="23"/>
      <c r="U352" s="23"/>
      <c r="V352" s="23"/>
      <c r="W352" s="23"/>
      <c r="X352" s="23"/>
      <c r="AO352" s="34"/>
      <c r="AP352" s="22"/>
      <c r="AQ352" s="22"/>
      <c r="AR352" s="22"/>
      <c r="AS352" s="34"/>
      <c r="AT352" s="34"/>
      <c r="AV352" s="34"/>
      <c r="AX352" s="35"/>
      <c r="AY352" s="35"/>
      <c r="AZ352" s="35"/>
      <c r="BA352" s="22"/>
      <c r="BB352" s="22"/>
      <c r="BC352" s="23"/>
      <c r="BD352" s="22"/>
      <c r="BE352" s="22"/>
      <c r="BF352" s="22"/>
      <c r="BG352" s="22"/>
      <c r="BH352" s="22"/>
      <c r="BI352" s="22"/>
      <c r="BJ352" s="22"/>
      <c r="BK352" s="22"/>
      <c r="BL352" s="22"/>
      <c r="BM352" s="22"/>
    </row>
    <row r="353" spans="2:65">
      <c r="B353" s="20"/>
      <c r="D353" s="19"/>
      <c r="E353" s="22"/>
      <c r="F353" s="22"/>
      <c r="G353" s="22"/>
      <c r="H353" s="22"/>
      <c r="I353" s="23"/>
      <c r="J353" s="24"/>
      <c r="K353" s="23"/>
      <c r="L353" s="24"/>
      <c r="M353" s="23"/>
      <c r="N353" s="24"/>
      <c r="O353" s="23"/>
      <c r="P353" s="24"/>
      <c r="Q353" s="23"/>
      <c r="R353" s="23"/>
      <c r="S353" s="23"/>
      <c r="T353" s="23"/>
      <c r="U353" s="23"/>
      <c r="V353" s="23"/>
      <c r="W353" s="23"/>
      <c r="X353" s="23"/>
      <c r="AO353" s="34"/>
      <c r="AP353" s="22"/>
      <c r="AQ353" s="22"/>
      <c r="AR353" s="22"/>
      <c r="AS353" s="34"/>
      <c r="AT353" s="34"/>
      <c r="AV353" s="34"/>
      <c r="AX353" s="35"/>
      <c r="AY353" s="35"/>
      <c r="AZ353" s="35"/>
      <c r="BA353" s="22"/>
      <c r="BB353" s="22"/>
      <c r="BC353" s="23"/>
      <c r="BD353" s="22"/>
      <c r="BE353" s="22"/>
      <c r="BF353" s="22"/>
      <c r="BG353" s="22"/>
      <c r="BH353" s="22"/>
      <c r="BI353" s="22"/>
      <c r="BJ353" s="22"/>
      <c r="BK353" s="22"/>
      <c r="BL353" s="22"/>
      <c r="BM353" s="22"/>
    </row>
    <row r="354" spans="2:65">
      <c r="B354" s="20"/>
      <c r="D354" s="19"/>
      <c r="E354" s="22"/>
      <c r="F354" s="22"/>
      <c r="G354" s="22"/>
      <c r="H354" s="22"/>
      <c r="I354" s="23"/>
      <c r="J354" s="24"/>
      <c r="K354" s="23"/>
      <c r="L354" s="24"/>
      <c r="M354" s="23"/>
      <c r="N354" s="24"/>
      <c r="O354" s="23"/>
      <c r="P354" s="24"/>
      <c r="Q354" s="23"/>
      <c r="R354" s="23"/>
      <c r="S354" s="23"/>
      <c r="T354" s="23"/>
      <c r="U354" s="23"/>
      <c r="V354" s="23"/>
      <c r="W354" s="23"/>
      <c r="X354" s="23"/>
      <c r="AO354" s="34"/>
      <c r="AP354" s="22"/>
      <c r="AQ354" s="22"/>
      <c r="AR354" s="22"/>
      <c r="AS354" s="34"/>
      <c r="AT354" s="34"/>
      <c r="AV354" s="34"/>
      <c r="AX354" s="35"/>
      <c r="AY354" s="35"/>
      <c r="AZ354" s="35"/>
      <c r="BA354" s="22"/>
      <c r="BB354" s="22"/>
      <c r="BC354" s="23"/>
      <c r="BD354" s="22"/>
      <c r="BE354" s="22"/>
      <c r="BF354" s="22"/>
      <c r="BG354" s="22"/>
      <c r="BH354" s="22"/>
      <c r="BI354" s="22"/>
      <c r="BJ354" s="22"/>
      <c r="BK354" s="22"/>
      <c r="BL354" s="22"/>
      <c r="BM354" s="22"/>
    </row>
    <row r="355" spans="2:65">
      <c r="B355" s="20"/>
      <c r="D355" s="19"/>
      <c r="E355" s="22"/>
      <c r="F355" s="22"/>
      <c r="G355" s="22"/>
      <c r="H355" s="22"/>
      <c r="I355" s="23"/>
      <c r="J355" s="24"/>
      <c r="K355" s="23"/>
      <c r="L355" s="24"/>
      <c r="M355" s="23"/>
      <c r="N355" s="24"/>
      <c r="O355" s="23"/>
      <c r="P355" s="24"/>
      <c r="Q355" s="23"/>
      <c r="R355" s="23"/>
      <c r="S355" s="23"/>
      <c r="T355" s="23"/>
      <c r="U355" s="23"/>
      <c r="V355" s="23"/>
      <c r="W355" s="23"/>
      <c r="X355" s="23"/>
      <c r="AO355" s="34"/>
      <c r="AP355" s="22"/>
      <c r="AQ355" s="22"/>
      <c r="AR355" s="22"/>
      <c r="AS355" s="34"/>
      <c r="AT355" s="34"/>
      <c r="AV355" s="34"/>
      <c r="AX355" s="35"/>
      <c r="AY355" s="35"/>
      <c r="AZ355" s="35"/>
      <c r="BA355" s="22"/>
      <c r="BB355" s="22"/>
      <c r="BC355" s="23"/>
      <c r="BD355" s="22"/>
      <c r="BE355" s="22"/>
      <c r="BF355" s="22"/>
      <c r="BG355" s="22"/>
      <c r="BH355" s="22"/>
      <c r="BI355" s="22"/>
      <c r="BJ355" s="22"/>
      <c r="BK355" s="22"/>
      <c r="BL355" s="22"/>
      <c r="BM355" s="22"/>
    </row>
    <row r="356" spans="2:65">
      <c r="B356" s="20"/>
      <c r="D356" s="19"/>
      <c r="E356" s="22"/>
      <c r="F356" s="22"/>
      <c r="G356" s="22"/>
      <c r="H356" s="22"/>
      <c r="I356" s="23"/>
      <c r="J356" s="24"/>
      <c r="K356" s="23"/>
      <c r="L356" s="24"/>
      <c r="M356" s="23"/>
      <c r="N356" s="24"/>
      <c r="O356" s="23"/>
      <c r="P356" s="24"/>
      <c r="Q356" s="23"/>
      <c r="R356" s="23"/>
      <c r="S356" s="23"/>
      <c r="T356" s="23"/>
      <c r="U356" s="23"/>
      <c r="V356" s="23"/>
      <c r="W356" s="23"/>
      <c r="X356" s="23"/>
      <c r="AO356" s="34"/>
      <c r="AP356" s="22"/>
      <c r="AQ356" s="22"/>
      <c r="AR356" s="22"/>
      <c r="AS356" s="34"/>
      <c r="AT356" s="34"/>
      <c r="AV356" s="34"/>
      <c r="AX356" s="35"/>
      <c r="AY356" s="35"/>
      <c r="AZ356" s="35"/>
      <c r="BA356" s="22"/>
      <c r="BB356" s="22"/>
      <c r="BC356" s="23"/>
      <c r="BD356" s="22"/>
      <c r="BE356" s="22"/>
      <c r="BF356" s="22"/>
      <c r="BG356" s="22"/>
      <c r="BH356" s="22"/>
      <c r="BI356" s="22"/>
      <c r="BJ356" s="22"/>
      <c r="BK356" s="22"/>
      <c r="BL356" s="22"/>
      <c r="BM356" s="22"/>
    </row>
    <row r="357" spans="2:65">
      <c r="B357" s="20"/>
      <c r="D357" s="19"/>
      <c r="E357" s="22"/>
      <c r="F357" s="22"/>
      <c r="G357" s="22"/>
      <c r="H357" s="22"/>
      <c r="I357" s="23"/>
      <c r="J357" s="24"/>
      <c r="K357" s="23"/>
      <c r="L357" s="24"/>
      <c r="M357" s="23"/>
      <c r="N357" s="24"/>
      <c r="O357" s="23"/>
      <c r="P357" s="24"/>
      <c r="Q357" s="23"/>
      <c r="R357" s="23"/>
      <c r="S357" s="23"/>
      <c r="T357" s="23"/>
      <c r="U357" s="23"/>
      <c r="V357" s="23"/>
      <c r="W357" s="23"/>
      <c r="X357" s="23"/>
      <c r="AO357" s="34"/>
      <c r="AP357" s="22"/>
      <c r="AQ357" s="22"/>
      <c r="AR357" s="22"/>
      <c r="AS357" s="34"/>
      <c r="AT357" s="34"/>
      <c r="AV357" s="34"/>
      <c r="AX357" s="35"/>
      <c r="AY357" s="35"/>
      <c r="AZ357" s="35"/>
      <c r="BA357" s="22"/>
      <c r="BB357" s="22"/>
      <c r="BC357" s="23"/>
      <c r="BD357" s="22"/>
      <c r="BE357" s="22"/>
      <c r="BF357" s="22"/>
      <c r="BG357" s="22"/>
      <c r="BH357" s="22"/>
      <c r="BI357" s="22"/>
      <c r="BJ357" s="22"/>
      <c r="BK357" s="22"/>
      <c r="BL357" s="22"/>
      <c r="BM357" s="22"/>
    </row>
    <row r="358" spans="2:65">
      <c r="B358" s="20"/>
      <c r="D358" s="19"/>
      <c r="E358" s="22"/>
      <c r="F358" s="22"/>
      <c r="G358" s="22"/>
      <c r="H358" s="22"/>
      <c r="I358" s="23"/>
      <c r="J358" s="24"/>
      <c r="K358" s="23"/>
      <c r="L358" s="24"/>
      <c r="M358" s="23"/>
      <c r="N358" s="24"/>
      <c r="O358" s="23"/>
      <c r="P358" s="24"/>
      <c r="Q358" s="23"/>
      <c r="R358" s="23"/>
      <c r="S358" s="23"/>
      <c r="T358" s="23"/>
      <c r="U358" s="23"/>
      <c r="V358" s="23"/>
      <c r="W358" s="23"/>
      <c r="X358" s="23"/>
      <c r="AO358" s="34"/>
      <c r="AP358" s="22"/>
      <c r="AQ358" s="22"/>
      <c r="AR358" s="22"/>
      <c r="AS358" s="34"/>
      <c r="AT358" s="34"/>
      <c r="AV358" s="34"/>
      <c r="AX358" s="35"/>
      <c r="AY358" s="35"/>
      <c r="AZ358" s="35"/>
      <c r="BA358" s="22"/>
      <c r="BB358" s="22"/>
      <c r="BC358" s="23"/>
      <c r="BD358" s="22"/>
      <c r="BE358" s="22"/>
      <c r="BF358" s="22"/>
      <c r="BG358" s="22"/>
      <c r="BH358" s="22"/>
      <c r="BI358" s="22"/>
      <c r="BJ358" s="22"/>
      <c r="BK358" s="22"/>
      <c r="BL358" s="22"/>
      <c r="BM358" s="22"/>
    </row>
    <row r="359" spans="2:65">
      <c r="B359" s="20"/>
      <c r="D359" s="19"/>
      <c r="E359" s="22"/>
      <c r="F359" s="22"/>
      <c r="G359" s="22"/>
      <c r="H359" s="22"/>
      <c r="I359" s="23"/>
      <c r="J359" s="24"/>
      <c r="K359" s="23"/>
      <c r="L359" s="24"/>
      <c r="M359" s="23"/>
      <c r="N359" s="24"/>
      <c r="O359" s="23"/>
      <c r="P359" s="24"/>
      <c r="Q359" s="23"/>
      <c r="R359" s="23"/>
      <c r="S359" s="23"/>
      <c r="T359" s="23"/>
      <c r="U359" s="23"/>
      <c r="V359" s="23"/>
      <c r="W359" s="23"/>
      <c r="X359" s="23"/>
      <c r="AO359" s="34"/>
      <c r="AP359" s="22"/>
      <c r="AQ359" s="22"/>
      <c r="AR359" s="22"/>
      <c r="AS359" s="34"/>
      <c r="AT359" s="34"/>
      <c r="AV359" s="34"/>
      <c r="AX359" s="35"/>
      <c r="AY359" s="35"/>
      <c r="AZ359" s="35"/>
      <c r="BA359" s="22"/>
      <c r="BB359" s="22"/>
      <c r="BC359" s="23"/>
      <c r="BD359" s="22"/>
      <c r="BE359" s="22"/>
      <c r="BF359" s="22"/>
      <c r="BG359" s="22"/>
      <c r="BH359" s="22"/>
      <c r="BI359" s="22"/>
      <c r="BJ359" s="22"/>
      <c r="BK359" s="22"/>
      <c r="BL359" s="22"/>
      <c r="BM359" s="22"/>
    </row>
    <row r="360" spans="2:65">
      <c r="B360" s="20"/>
      <c r="D360" s="19"/>
      <c r="E360" s="22"/>
      <c r="F360" s="22"/>
      <c r="G360" s="22"/>
      <c r="H360" s="22"/>
      <c r="I360" s="23"/>
      <c r="J360" s="24"/>
      <c r="K360" s="23"/>
      <c r="L360" s="24"/>
      <c r="M360" s="23"/>
      <c r="N360" s="24"/>
      <c r="O360" s="23"/>
      <c r="P360" s="24"/>
      <c r="Q360" s="23"/>
      <c r="R360" s="23"/>
      <c r="S360" s="23"/>
      <c r="T360" s="23"/>
      <c r="U360" s="23"/>
      <c r="V360" s="23"/>
      <c r="W360" s="23"/>
      <c r="X360" s="23"/>
      <c r="AO360" s="34"/>
      <c r="AP360" s="22"/>
      <c r="AQ360" s="22"/>
      <c r="AR360" s="22"/>
      <c r="AS360" s="34"/>
      <c r="AT360" s="34"/>
      <c r="AV360" s="34"/>
      <c r="AX360" s="35"/>
      <c r="AY360" s="35"/>
      <c r="AZ360" s="35"/>
      <c r="BA360" s="22"/>
      <c r="BB360" s="22"/>
      <c r="BC360" s="23"/>
      <c r="BD360" s="22"/>
      <c r="BE360" s="22"/>
      <c r="BF360" s="22"/>
      <c r="BG360" s="22"/>
      <c r="BH360" s="22"/>
      <c r="BI360" s="22"/>
      <c r="BJ360" s="22"/>
      <c r="BK360" s="22"/>
      <c r="BL360" s="22"/>
      <c r="BM360" s="22"/>
    </row>
    <row r="361" spans="2:65">
      <c r="B361" s="20"/>
      <c r="D361" s="19"/>
      <c r="E361" s="22"/>
      <c r="F361" s="22"/>
      <c r="G361" s="22"/>
      <c r="H361" s="22"/>
      <c r="I361" s="23"/>
      <c r="J361" s="24"/>
      <c r="K361" s="23"/>
      <c r="L361" s="24"/>
      <c r="M361" s="23"/>
      <c r="N361" s="24"/>
      <c r="O361" s="23"/>
      <c r="P361" s="24"/>
      <c r="Q361" s="23"/>
      <c r="R361" s="23"/>
      <c r="S361" s="23"/>
      <c r="T361" s="23"/>
      <c r="U361" s="23"/>
      <c r="V361" s="23"/>
      <c r="W361" s="23"/>
      <c r="X361" s="23"/>
      <c r="AO361" s="34"/>
      <c r="AP361" s="22"/>
      <c r="AQ361" s="22"/>
      <c r="AR361" s="22"/>
      <c r="AS361" s="34"/>
      <c r="AT361" s="34"/>
      <c r="AV361" s="34"/>
      <c r="AX361" s="35"/>
      <c r="AY361" s="35"/>
      <c r="AZ361" s="35"/>
      <c r="BA361" s="22"/>
      <c r="BB361" s="22"/>
      <c r="BC361" s="23"/>
      <c r="BD361" s="22"/>
      <c r="BE361" s="22"/>
      <c r="BF361" s="22"/>
      <c r="BG361" s="22"/>
      <c r="BH361" s="22"/>
      <c r="BI361" s="22"/>
      <c r="BJ361" s="22"/>
      <c r="BK361" s="22"/>
      <c r="BL361" s="22"/>
      <c r="BM361" s="22"/>
    </row>
    <row r="362" spans="2:65">
      <c r="B362" s="20"/>
      <c r="D362" s="19"/>
      <c r="E362" s="22"/>
      <c r="F362" s="22"/>
      <c r="G362" s="22"/>
      <c r="H362" s="22"/>
      <c r="I362" s="23"/>
      <c r="J362" s="24"/>
      <c r="K362" s="23"/>
      <c r="L362" s="24"/>
      <c r="M362" s="23"/>
      <c r="N362" s="24"/>
      <c r="O362" s="23"/>
      <c r="P362" s="24"/>
      <c r="Q362" s="23"/>
      <c r="R362" s="23"/>
      <c r="S362" s="23"/>
      <c r="T362" s="23"/>
      <c r="U362" s="23"/>
      <c r="V362" s="23"/>
      <c r="W362" s="23"/>
      <c r="X362" s="23"/>
      <c r="AO362" s="34"/>
      <c r="AP362" s="22"/>
      <c r="AQ362" s="22"/>
      <c r="AR362" s="22"/>
      <c r="AS362" s="34"/>
      <c r="AT362" s="34"/>
      <c r="AV362" s="34"/>
      <c r="AX362" s="35"/>
      <c r="AY362" s="35"/>
      <c r="AZ362" s="35"/>
      <c r="BA362" s="22"/>
      <c r="BB362" s="22"/>
      <c r="BC362" s="23"/>
      <c r="BD362" s="22"/>
      <c r="BE362" s="22"/>
      <c r="BF362" s="22"/>
      <c r="BG362" s="22"/>
      <c r="BH362" s="22"/>
      <c r="BI362" s="22"/>
      <c r="BJ362" s="22"/>
      <c r="BK362" s="22"/>
      <c r="BL362" s="22"/>
      <c r="BM362" s="22"/>
    </row>
    <row r="363" spans="2:65">
      <c r="B363" s="20"/>
      <c r="D363" s="19"/>
      <c r="E363" s="22"/>
      <c r="F363" s="22"/>
      <c r="G363" s="22"/>
      <c r="H363" s="22"/>
      <c r="I363" s="23"/>
      <c r="J363" s="24"/>
      <c r="K363" s="23"/>
      <c r="L363" s="24"/>
      <c r="M363" s="23"/>
      <c r="N363" s="24"/>
      <c r="O363" s="23"/>
      <c r="P363" s="24"/>
      <c r="Q363" s="23"/>
      <c r="R363" s="23"/>
      <c r="S363" s="23"/>
      <c r="T363" s="23"/>
      <c r="U363" s="23"/>
      <c r="V363" s="23"/>
      <c r="W363" s="23"/>
      <c r="X363" s="23"/>
      <c r="AO363" s="34"/>
      <c r="AP363" s="22"/>
      <c r="AQ363" s="22"/>
      <c r="AR363" s="22"/>
      <c r="AS363" s="34"/>
      <c r="AT363" s="34"/>
      <c r="AV363" s="34"/>
      <c r="AX363" s="35"/>
      <c r="AY363" s="35"/>
      <c r="AZ363" s="35"/>
      <c r="BA363" s="22"/>
      <c r="BB363" s="22"/>
      <c r="BC363" s="23"/>
      <c r="BD363" s="22"/>
      <c r="BE363" s="22"/>
      <c r="BF363" s="22"/>
      <c r="BG363" s="22"/>
      <c r="BH363" s="22"/>
      <c r="BI363" s="22"/>
      <c r="BJ363" s="22"/>
      <c r="BK363" s="22"/>
      <c r="BL363" s="22"/>
      <c r="BM363" s="22"/>
    </row>
    <row r="364" spans="2:65">
      <c r="B364" s="20"/>
      <c r="D364" s="19"/>
      <c r="E364" s="22"/>
      <c r="F364" s="22"/>
      <c r="G364" s="22"/>
      <c r="H364" s="22"/>
      <c r="I364" s="23"/>
      <c r="J364" s="24"/>
      <c r="K364" s="23"/>
      <c r="L364" s="24"/>
      <c r="M364" s="23"/>
      <c r="N364" s="24"/>
      <c r="O364" s="23"/>
      <c r="P364" s="24"/>
      <c r="Q364" s="23"/>
      <c r="R364" s="23"/>
      <c r="S364" s="23"/>
      <c r="T364" s="23"/>
      <c r="U364" s="23"/>
      <c r="V364" s="23"/>
      <c r="W364" s="23"/>
      <c r="X364" s="23"/>
      <c r="AO364" s="34"/>
      <c r="AP364" s="22"/>
      <c r="AQ364" s="22"/>
      <c r="AR364" s="22"/>
      <c r="AS364" s="34"/>
      <c r="AT364" s="34"/>
      <c r="AV364" s="34"/>
      <c r="AX364" s="35"/>
      <c r="AY364" s="35"/>
      <c r="AZ364" s="35"/>
      <c r="BA364" s="22"/>
      <c r="BB364" s="22"/>
      <c r="BC364" s="23"/>
      <c r="BD364" s="22"/>
      <c r="BE364" s="22"/>
      <c r="BF364" s="22"/>
      <c r="BG364" s="22"/>
      <c r="BH364" s="22"/>
      <c r="BI364" s="22"/>
      <c r="BJ364" s="22"/>
      <c r="BK364" s="22"/>
      <c r="BL364" s="22"/>
      <c r="BM364" s="22"/>
    </row>
    <row r="365" spans="2:65">
      <c r="B365" s="20"/>
      <c r="D365" s="19"/>
      <c r="E365" s="22"/>
      <c r="F365" s="22"/>
      <c r="G365" s="22"/>
      <c r="H365" s="22"/>
      <c r="I365" s="23"/>
      <c r="J365" s="24"/>
      <c r="K365" s="23"/>
      <c r="L365" s="24"/>
      <c r="M365" s="23"/>
      <c r="N365" s="24"/>
      <c r="O365" s="23"/>
      <c r="P365" s="24"/>
      <c r="Q365" s="23"/>
      <c r="R365" s="23"/>
      <c r="S365" s="23"/>
      <c r="T365" s="23"/>
      <c r="U365" s="23"/>
      <c r="V365" s="23"/>
      <c r="W365" s="23"/>
      <c r="X365" s="23"/>
      <c r="AO365" s="34"/>
      <c r="AP365" s="22"/>
      <c r="AQ365" s="22"/>
      <c r="AR365" s="22"/>
      <c r="AS365" s="34"/>
      <c r="AT365" s="34"/>
      <c r="AV365" s="34"/>
      <c r="AX365" s="35"/>
      <c r="AY365" s="35"/>
      <c r="AZ365" s="35"/>
      <c r="BA365" s="22"/>
      <c r="BB365" s="22"/>
      <c r="BC365" s="23"/>
      <c r="BD365" s="22"/>
      <c r="BE365" s="22"/>
      <c r="BF365" s="22"/>
      <c r="BG365" s="22"/>
      <c r="BH365" s="22"/>
      <c r="BI365" s="22"/>
      <c r="BJ365" s="22"/>
      <c r="BK365" s="22"/>
      <c r="BL365" s="22"/>
      <c r="BM365" s="22"/>
    </row>
    <row r="366" spans="2:65">
      <c r="B366" s="20"/>
      <c r="D366" s="19"/>
      <c r="E366" s="22"/>
      <c r="F366" s="22"/>
      <c r="G366" s="22"/>
      <c r="H366" s="22"/>
      <c r="I366" s="23"/>
      <c r="J366" s="24"/>
      <c r="K366" s="23"/>
      <c r="L366" s="24"/>
      <c r="M366" s="23"/>
      <c r="N366" s="24"/>
      <c r="O366" s="23"/>
      <c r="P366" s="24"/>
      <c r="Q366" s="23"/>
      <c r="R366" s="23"/>
      <c r="S366" s="23"/>
      <c r="T366" s="23"/>
      <c r="U366" s="23"/>
      <c r="V366" s="23"/>
      <c r="W366" s="23"/>
      <c r="X366" s="23"/>
      <c r="AO366" s="34"/>
      <c r="AP366" s="22"/>
      <c r="AQ366" s="22"/>
      <c r="AR366" s="22"/>
      <c r="AS366" s="34"/>
      <c r="AT366" s="34"/>
      <c r="AV366" s="34"/>
      <c r="AX366" s="35"/>
      <c r="AY366" s="35"/>
      <c r="AZ366" s="35"/>
      <c r="BA366" s="22"/>
      <c r="BB366" s="22"/>
      <c r="BC366" s="23"/>
      <c r="BD366" s="22"/>
      <c r="BE366" s="22"/>
      <c r="BF366" s="22"/>
      <c r="BG366" s="22"/>
      <c r="BH366" s="22"/>
      <c r="BI366" s="22"/>
      <c r="BJ366" s="22"/>
      <c r="BK366" s="22"/>
      <c r="BL366" s="22"/>
      <c r="BM366" s="22"/>
    </row>
    <row r="367" spans="2:65">
      <c r="B367" s="20"/>
      <c r="D367" s="19"/>
      <c r="E367" s="22"/>
      <c r="F367" s="22"/>
      <c r="G367" s="22"/>
      <c r="H367" s="22"/>
      <c r="I367" s="23"/>
      <c r="J367" s="24"/>
      <c r="K367" s="23"/>
      <c r="L367" s="24"/>
      <c r="M367" s="23"/>
      <c r="N367" s="24"/>
      <c r="O367" s="23"/>
      <c r="P367" s="24"/>
      <c r="Q367" s="23"/>
      <c r="R367" s="23"/>
      <c r="S367" s="23"/>
      <c r="T367" s="23"/>
      <c r="U367" s="23"/>
      <c r="V367" s="23"/>
      <c r="W367" s="23"/>
      <c r="X367" s="23"/>
      <c r="AO367" s="34"/>
      <c r="AP367" s="22"/>
      <c r="AQ367" s="22"/>
      <c r="AR367" s="22"/>
      <c r="AS367" s="34"/>
      <c r="AT367" s="34"/>
      <c r="AV367" s="34"/>
      <c r="AX367" s="35"/>
      <c r="AY367" s="35"/>
      <c r="AZ367" s="35"/>
      <c r="BA367" s="22"/>
      <c r="BB367" s="22"/>
      <c r="BC367" s="23"/>
      <c r="BD367" s="22"/>
      <c r="BE367" s="22"/>
      <c r="BF367" s="22"/>
      <c r="BG367" s="22"/>
      <c r="BH367" s="22"/>
      <c r="BI367" s="22"/>
      <c r="BJ367" s="22"/>
      <c r="BK367" s="22"/>
      <c r="BL367" s="22"/>
      <c r="BM367" s="22"/>
    </row>
    <row r="368" spans="2:65">
      <c r="B368" s="20"/>
      <c r="D368" s="19"/>
      <c r="E368" s="22"/>
      <c r="F368" s="22"/>
      <c r="G368" s="22"/>
      <c r="H368" s="22"/>
      <c r="I368" s="23"/>
      <c r="J368" s="24"/>
      <c r="K368" s="23"/>
      <c r="L368" s="24"/>
      <c r="M368" s="23"/>
      <c r="N368" s="24"/>
      <c r="O368" s="23"/>
      <c r="P368" s="24"/>
      <c r="Q368" s="23"/>
      <c r="R368" s="23"/>
      <c r="S368" s="23"/>
      <c r="T368" s="23"/>
      <c r="U368" s="23"/>
      <c r="V368" s="23"/>
      <c r="W368" s="23"/>
      <c r="X368" s="23"/>
      <c r="AO368" s="34"/>
      <c r="AP368" s="22"/>
      <c r="AQ368" s="22"/>
      <c r="AR368" s="22"/>
      <c r="AS368" s="34"/>
      <c r="AT368" s="34"/>
      <c r="AV368" s="34"/>
      <c r="AX368" s="35"/>
      <c r="AY368" s="35"/>
      <c r="AZ368" s="35"/>
      <c r="BA368" s="22"/>
      <c r="BB368" s="22"/>
      <c r="BC368" s="23"/>
      <c r="BD368" s="22"/>
      <c r="BE368" s="22"/>
      <c r="BF368" s="22"/>
      <c r="BG368" s="22"/>
      <c r="BH368" s="22"/>
      <c r="BI368" s="22"/>
      <c r="BJ368" s="22"/>
      <c r="BK368" s="22"/>
      <c r="BL368" s="22"/>
      <c r="BM368" s="22"/>
    </row>
    <row r="369" spans="2:65">
      <c r="B369" s="20"/>
      <c r="D369" s="19"/>
      <c r="E369" s="22"/>
      <c r="F369" s="22"/>
      <c r="G369" s="22"/>
      <c r="H369" s="22"/>
      <c r="I369" s="23"/>
      <c r="J369" s="24"/>
      <c r="K369" s="23"/>
      <c r="L369" s="24"/>
      <c r="M369" s="23"/>
      <c r="N369" s="24"/>
      <c r="O369" s="23"/>
      <c r="P369" s="24"/>
      <c r="Q369" s="23"/>
      <c r="R369" s="23"/>
      <c r="S369" s="23"/>
      <c r="T369" s="23"/>
      <c r="U369" s="23"/>
      <c r="V369" s="23"/>
      <c r="W369" s="23"/>
      <c r="X369" s="23"/>
      <c r="AO369" s="34"/>
      <c r="AP369" s="22"/>
      <c r="AQ369" s="22"/>
      <c r="AR369" s="22"/>
      <c r="AS369" s="34"/>
      <c r="AT369" s="34"/>
      <c r="AV369" s="34"/>
      <c r="AX369" s="35"/>
      <c r="AY369" s="35"/>
      <c r="AZ369" s="35"/>
      <c r="BA369" s="22"/>
      <c r="BB369" s="22"/>
      <c r="BC369" s="23"/>
      <c r="BD369" s="22"/>
      <c r="BE369" s="22"/>
      <c r="BF369" s="22"/>
      <c r="BG369" s="22"/>
      <c r="BH369" s="22"/>
      <c r="BI369" s="22"/>
      <c r="BJ369" s="22"/>
      <c r="BK369" s="22"/>
      <c r="BL369" s="22"/>
      <c r="BM369" s="22"/>
    </row>
    <row r="370" spans="2:65">
      <c r="B370" s="20"/>
      <c r="D370" s="19"/>
      <c r="E370" s="22"/>
      <c r="F370" s="22"/>
      <c r="G370" s="22"/>
      <c r="H370" s="22"/>
      <c r="I370" s="23"/>
      <c r="J370" s="24"/>
      <c r="K370" s="23"/>
      <c r="L370" s="24"/>
      <c r="M370" s="23"/>
      <c r="N370" s="24"/>
      <c r="O370" s="23"/>
      <c r="P370" s="24"/>
      <c r="Q370" s="23"/>
      <c r="R370" s="23"/>
      <c r="S370" s="23"/>
      <c r="T370" s="23"/>
      <c r="U370" s="23"/>
      <c r="V370" s="23"/>
      <c r="W370" s="23"/>
      <c r="X370" s="23"/>
      <c r="AO370" s="34"/>
      <c r="AP370" s="22"/>
      <c r="AQ370" s="22"/>
      <c r="AR370" s="22"/>
      <c r="AS370" s="34"/>
      <c r="AT370" s="34"/>
      <c r="AV370" s="34"/>
      <c r="AX370" s="35"/>
      <c r="AY370" s="35"/>
      <c r="AZ370" s="35"/>
      <c r="BA370" s="22"/>
      <c r="BB370" s="22"/>
      <c r="BC370" s="23"/>
      <c r="BD370" s="22"/>
      <c r="BE370" s="22"/>
      <c r="BF370" s="22"/>
      <c r="BG370" s="22"/>
      <c r="BH370" s="22"/>
      <c r="BI370" s="22"/>
      <c r="BJ370" s="22"/>
      <c r="BK370" s="22"/>
      <c r="BL370" s="22"/>
      <c r="BM370" s="22"/>
    </row>
    <row r="371" spans="2:65">
      <c r="B371" s="20"/>
      <c r="D371" s="19"/>
      <c r="E371" s="22"/>
      <c r="F371" s="22"/>
      <c r="G371" s="22"/>
      <c r="H371" s="22"/>
      <c r="I371" s="23"/>
      <c r="J371" s="24"/>
      <c r="K371" s="23"/>
      <c r="L371" s="24"/>
      <c r="M371" s="23"/>
      <c r="N371" s="24"/>
      <c r="O371" s="23"/>
      <c r="P371" s="24"/>
      <c r="Q371" s="23"/>
      <c r="R371" s="23"/>
      <c r="S371" s="23"/>
      <c r="T371" s="23"/>
      <c r="U371" s="23"/>
      <c r="V371" s="23"/>
      <c r="W371" s="23"/>
      <c r="X371" s="23"/>
      <c r="AO371" s="34"/>
      <c r="AP371" s="22"/>
      <c r="AQ371" s="22"/>
      <c r="AR371" s="22"/>
      <c r="AS371" s="34"/>
      <c r="AT371" s="34"/>
      <c r="AV371" s="34"/>
      <c r="AX371" s="35"/>
      <c r="AY371" s="35"/>
      <c r="AZ371" s="35"/>
      <c r="BA371" s="22"/>
      <c r="BB371" s="22"/>
      <c r="BC371" s="23"/>
      <c r="BD371" s="22"/>
      <c r="BE371" s="22"/>
      <c r="BF371" s="22"/>
      <c r="BG371" s="22"/>
      <c r="BH371" s="22"/>
      <c r="BI371" s="22"/>
      <c r="BJ371" s="22"/>
      <c r="BK371" s="22"/>
      <c r="BL371" s="22"/>
      <c r="BM371" s="22"/>
    </row>
    <row r="372" spans="2:65">
      <c r="B372" s="20"/>
      <c r="D372" s="19"/>
      <c r="E372" s="22"/>
      <c r="F372" s="22"/>
      <c r="G372" s="22"/>
      <c r="H372" s="22"/>
      <c r="I372" s="23"/>
      <c r="J372" s="24"/>
      <c r="K372" s="23"/>
      <c r="L372" s="24"/>
      <c r="M372" s="23"/>
      <c r="N372" s="24"/>
      <c r="O372" s="23"/>
      <c r="P372" s="24"/>
      <c r="Q372" s="23"/>
      <c r="R372" s="23"/>
      <c r="S372" s="23"/>
      <c r="T372" s="23"/>
      <c r="U372" s="23"/>
      <c r="V372" s="23"/>
      <c r="W372" s="23"/>
      <c r="X372" s="23"/>
      <c r="AO372" s="34"/>
      <c r="AP372" s="22"/>
      <c r="AQ372" s="22"/>
      <c r="AR372" s="22"/>
      <c r="AS372" s="34"/>
      <c r="AT372" s="34"/>
      <c r="AV372" s="34"/>
      <c r="AX372" s="35"/>
      <c r="AY372" s="35"/>
      <c r="AZ372" s="35"/>
      <c r="BA372" s="22"/>
      <c r="BB372" s="22"/>
      <c r="BC372" s="23"/>
      <c r="BD372" s="22"/>
      <c r="BE372" s="22"/>
      <c r="BF372" s="22"/>
      <c r="BG372" s="22"/>
      <c r="BH372" s="22"/>
      <c r="BI372" s="22"/>
      <c r="BJ372" s="22"/>
      <c r="BK372" s="22"/>
      <c r="BL372" s="22"/>
      <c r="BM372" s="22"/>
    </row>
    <row r="373" spans="2:65">
      <c r="B373" s="20"/>
      <c r="D373" s="19"/>
      <c r="E373" s="22"/>
      <c r="F373" s="22"/>
      <c r="G373" s="22"/>
      <c r="H373" s="22"/>
      <c r="I373" s="23"/>
      <c r="J373" s="24"/>
      <c r="K373" s="23"/>
      <c r="L373" s="24"/>
      <c r="M373" s="23"/>
      <c r="N373" s="24"/>
      <c r="O373" s="23"/>
      <c r="P373" s="24"/>
      <c r="Q373" s="23"/>
      <c r="R373" s="23"/>
      <c r="S373" s="23"/>
      <c r="T373" s="23"/>
      <c r="U373" s="23"/>
      <c r="V373" s="23"/>
      <c r="W373" s="23"/>
      <c r="X373" s="23"/>
      <c r="AO373" s="34"/>
      <c r="AP373" s="22"/>
      <c r="AQ373" s="22"/>
      <c r="AR373" s="22"/>
      <c r="AS373" s="34"/>
      <c r="AT373" s="34"/>
      <c r="AV373" s="34"/>
      <c r="AX373" s="35"/>
      <c r="AY373" s="35"/>
      <c r="AZ373" s="35"/>
      <c r="BA373" s="22"/>
      <c r="BB373" s="22"/>
      <c r="BC373" s="23"/>
      <c r="BD373" s="22"/>
      <c r="BE373" s="22"/>
      <c r="BF373" s="22"/>
      <c r="BG373" s="22"/>
      <c r="BH373" s="22"/>
      <c r="BI373" s="22"/>
      <c r="BJ373" s="22"/>
      <c r="BK373" s="22"/>
      <c r="BL373" s="22"/>
      <c r="BM373" s="22"/>
    </row>
    <row r="374" spans="2:65">
      <c r="B374" s="20"/>
      <c r="D374" s="19"/>
      <c r="E374" s="22"/>
      <c r="F374" s="22"/>
      <c r="G374" s="22"/>
      <c r="H374" s="22"/>
      <c r="I374" s="23"/>
      <c r="J374" s="24"/>
      <c r="K374" s="23"/>
      <c r="L374" s="24"/>
      <c r="M374" s="23"/>
      <c r="N374" s="24"/>
      <c r="O374" s="23"/>
      <c r="P374" s="24"/>
      <c r="Q374" s="23"/>
      <c r="R374" s="23"/>
      <c r="S374" s="23"/>
      <c r="T374" s="23"/>
      <c r="U374" s="23"/>
      <c r="V374" s="23"/>
      <c r="W374" s="23"/>
      <c r="X374" s="23"/>
      <c r="AO374" s="34"/>
      <c r="AP374" s="22"/>
      <c r="AQ374" s="22"/>
      <c r="AR374" s="22"/>
      <c r="AS374" s="34"/>
      <c r="AT374" s="34"/>
      <c r="AV374" s="34"/>
      <c r="AX374" s="35"/>
      <c r="AY374" s="35"/>
      <c r="AZ374" s="35"/>
      <c r="BA374" s="22"/>
      <c r="BB374" s="22"/>
      <c r="BC374" s="23"/>
      <c r="BD374" s="22"/>
      <c r="BE374" s="22"/>
      <c r="BF374" s="22"/>
      <c r="BG374" s="22"/>
      <c r="BH374" s="22"/>
      <c r="BI374" s="22"/>
      <c r="BJ374" s="22"/>
      <c r="BK374" s="22"/>
      <c r="BL374" s="22"/>
      <c r="BM374" s="22"/>
    </row>
    <row r="375" spans="2:65">
      <c r="B375" s="20"/>
      <c r="D375" s="19"/>
      <c r="E375" s="22"/>
      <c r="F375" s="22"/>
      <c r="G375" s="22"/>
      <c r="H375" s="22"/>
      <c r="I375" s="23"/>
      <c r="J375" s="24"/>
      <c r="K375" s="23"/>
      <c r="L375" s="24"/>
      <c r="M375" s="23"/>
      <c r="N375" s="24"/>
      <c r="O375" s="23"/>
      <c r="P375" s="24"/>
      <c r="Q375" s="23"/>
      <c r="R375" s="23"/>
      <c r="S375" s="23"/>
      <c r="T375" s="23"/>
      <c r="U375" s="23"/>
      <c r="V375" s="23"/>
      <c r="W375" s="23"/>
      <c r="X375" s="23"/>
      <c r="AO375" s="34"/>
      <c r="AP375" s="22"/>
      <c r="AQ375" s="22"/>
      <c r="AR375" s="22"/>
      <c r="AS375" s="34"/>
      <c r="AT375" s="34"/>
      <c r="AV375" s="34"/>
      <c r="AX375" s="35"/>
      <c r="AY375" s="35"/>
      <c r="AZ375" s="35"/>
      <c r="BA375" s="22"/>
      <c r="BB375" s="22"/>
      <c r="BC375" s="23"/>
      <c r="BD375" s="22"/>
      <c r="BE375" s="22"/>
      <c r="BF375" s="22"/>
      <c r="BG375" s="22"/>
      <c r="BH375" s="22"/>
      <c r="BI375" s="22"/>
      <c r="BJ375" s="22"/>
      <c r="BK375" s="22"/>
      <c r="BL375" s="22"/>
      <c r="BM375" s="22"/>
    </row>
    <row r="376" spans="2:65">
      <c r="B376" s="20"/>
      <c r="D376" s="19"/>
      <c r="E376" s="22"/>
      <c r="F376" s="22"/>
      <c r="G376" s="22"/>
      <c r="H376" s="22"/>
      <c r="I376" s="23"/>
      <c r="J376" s="24"/>
      <c r="K376" s="23"/>
      <c r="L376" s="24"/>
      <c r="M376" s="23"/>
      <c r="N376" s="24"/>
      <c r="O376" s="23"/>
      <c r="P376" s="24"/>
      <c r="Q376" s="23"/>
      <c r="R376" s="23"/>
      <c r="S376" s="23"/>
      <c r="T376" s="23"/>
      <c r="U376" s="23"/>
      <c r="V376" s="23"/>
      <c r="W376" s="23"/>
      <c r="X376" s="23"/>
      <c r="AO376" s="34"/>
      <c r="AP376" s="22"/>
      <c r="AQ376" s="22"/>
      <c r="AR376" s="22"/>
      <c r="AS376" s="34"/>
      <c r="AT376" s="34"/>
      <c r="AV376" s="34"/>
      <c r="AX376" s="35"/>
      <c r="AY376" s="35"/>
      <c r="AZ376" s="35"/>
      <c r="BA376" s="22"/>
      <c r="BB376" s="22"/>
      <c r="BC376" s="23"/>
      <c r="BD376" s="22"/>
      <c r="BE376" s="22"/>
      <c r="BF376" s="22"/>
      <c r="BG376" s="22"/>
      <c r="BH376" s="22"/>
      <c r="BI376" s="22"/>
      <c r="BJ376" s="22"/>
      <c r="BK376" s="22"/>
      <c r="BL376" s="22"/>
      <c r="BM376" s="22"/>
    </row>
    <row r="377" spans="2:65">
      <c r="B377" s="20"/>
      <c r="D377" s="19"/>
      <c r="E377" s="22"/>
      <c r="F377" s="22"/>
      <c r="G377" s="22"/>
      <c r="H377" s="22"/>
      <c r="I377" s="23"/>
      <c r="J377" s="24"/>
      <c r="K377" s="23"/>
      <c r="L377" s="24"/>
      <c r="M377" s="23"/>
      <c r="N377" s="24"/>
      <c r="O377" s="23"/>
      <c r="P377" s="24"/>
      <c r="Q377" s="23"/>
      <c r="R377" s="23"/>
      <c r="S377" s="23"/>
      <c r="T377" s="23"/>
      <c r="U377" s="23"/>
      <c r="V377" s="23"/>
      <c r="W377" s="23"/>
      <c r="X377" s="23"/>
      <c r="AO377" s="34"/>
      <c r="AP377" s="22"/>
      <c r="AQ377" s="22"/>
      <c r="AR377" s="22"/>
      <c r="AS377" s="34"/>
      <c r="AT377" s="34"/>
      <c r="AV377" s="34"/>
      <c r="AX377" s="35"/>
      <c r="AY377" s="35"/>
      <c r="AZ377" s="35"/>
      <c r="BA377" s="22"/>
      <c r="BB377" s="22"/>
      <c r="BC377" s="23"/>
      <c r="BD377" s="22"/>
      <c r="BE377" s="22"/>
      <c r="BF377" s="22"/>
      <c r="BG377" s="22"/>
      <c r="BH377" s="22"/>
      <c r="BI377" s="22"/>
      <c r="BJ377" s="22"/>
      <c r="BK377" s="22"/>
      <c r="BL377" s="22"/>
      <c r="BM377" s="22"/>
    </row>
    <row r="378" spans="2:65">
      <c r="B378" s="20"/>
      <c r="D378" s="19"/>
      <c r="E378" s="22"/>
      <c r="F378" s="22"/>
      <c r="G378" s="22"/>
      <c r="H378" s="22"/>
      <c r="I378" s="23"/>
      <c r="J378" s="24"/>
      <c r="K378" s="23"/>
      <c r="L378" s="24"/>
      <c r="M378" s="23"/>
      <c r="N378" s="24"/>
      <c r="O378" s="23"/>
      <c r="P378" s="24"/>
      <c r="Q378" s="23"/>
      <c r="R378" s="23"/>
      <c r="S378" s="23"/>
      <c r="T378" s="23"/>
      <c r="U378" s="23"/>
      <c r="V378" s="23"/>
      <c r="W378" s="23"/>
      <c r="X378" s="23"/>
      <c r="AO378" s="34"/>
      <c r="AP378" s="22"/>
      <c r="AQ378" s="22"/>
      <c r="AR378" s="22"/>
      <c r="AS378" s="34"/>
      <c r="AT378" s="34"/>
      <c r="AV378" s="34"/>
      <c r="AX378" s="35"/>
      <c r="AY378" s="35"/>
      <c r="AZ378" s="35"/>
      <c r="BA378" s="22"/>
      <c r="BB378" s="22"/>
      <c r="BC378" s="23"/>
      <c r="BD378" s="22"/>
      <c r="BE378" s="22"/>
      <c r="BF378" s="22"/>
      <c r="BG378" s="22"/>
      <c r="BH378" s="22"/>
      <c r="BI378" s="22"/>
      <c r="BJ378" s="22"/>
      <c r="BK378" s="22"/>
      <c r="BL378" s="22"/>
      <c r="BM378" s="22"/>
    </row>
    <row r="379" spans="2:65">
      <c r="B379" s="20"/>
      <c r="D379" s="19"/>
      <c r="E379" s="22"/>
      <c r="F379" s="22"/>
      <c r="G379" s="22"/>
      <c r="H379" s="22"/>
      <c r="I379" s="23"/>
      <c r="J379" s="24"/>
      <c r="K379" s="23"/>
      <c r="L379" s="24"/>
      <c r="M379" s="23"/>
      <c r="N379" s="24"/>
      <c r="O379" s="23"/>
      <c r="P379" s="24"/>
      <c r="Q379" s="23"/>
      <c r="R379" s="23"/>
      <c r="S379" s="23"/>
      <c r="T379" s="23"/>
      <c r="U379" s="23"/>
      <c r="V379" s="23"/>
      <c r="W379" s="23"/>
      <c r="X379" s="23"/>
      <c r="AO379" s="34"/>
      <c r="AP379" s="22"/>
      <c r="AQ379" s="22"/>
      <c r="AR379" s="22"/>
      <c r="AS379" s="34"/>
      <c r="AT379" s="34"/>
      <c r="AV379" s="34"/>
      <c r="AX379" s="35"/>
      <c r="AY379" s="35"/>
      <c r="AZ379" s="35"/>
      <c r="BA379" s="22"/>
      <c r="BB379" s="22"/>
      <c r="BC379" s="23"/>
      <c r="BD379" s="22"/>
      <c r="BE379" s="22"/>
      <c r="BF379" s="22"/>
      <c r="BG379" s="22"/>
      <c r="BH379" s="22"/>
      <c r="BI379" s="22"/>
      <c r="BJ379" s="22"/>
      <c r="BK379" s="22"/>
      <c r="BL379" s="22"/>
      <c r="BM379" s="22"/>
    </row>
    <row r="380" spans="2:65">
      <c r="B380" s="20"/>
      <c r="D380" s="19"/>
      <c r="E380" s="22"/>
      <c r="F380" s="22"/>
      <c r="G380" s="22"/>
      <c r="H380" s="22"/>
      <c r="I380" s="23"/>
      <c r="J380" s="24"/>
      <c r="K380" s="23"/>
      <c r="L380" s="24"/>
      <c r="M380" s="23"/>
      <c r="N380" s="24"/>
      <c r="O380" s="23"/>
      <c r="P380" s="24"/>
      <c r="Q380" s="23"/>
      <c r="R380" s="23"/>
      <c r="S380" s="23"/>
      <c r="T380" s="23"/>
      <c r="U380" s="23"/>
      <c r="V380" s="23"/>
      <c r="W380" s="23"/>
      <c r="X380" s="23"/>
      <c r="AO380" s="34"/>
      <c r="AP380" s="22"/>
      <c r="AQ380" s="22"/>
      <c r="AR380" s="22"/>
      <c r="AS380" s="34"/>
      <c r="AT380" s="34"/>
      <c r="AV380" s="34"/>
      <c r="AX380" s="35"/>
      <c r="AY380" s="35"/>
      <c r="AZ380" s="35"/>
      <c r="BA380" s="22"/>
      <c r="BB380" s="22"/>
      <c r="BC380" s="23"/>
      <c r="BD380" s="22"/>
      <c r="BE380" s="22"/>
      <c r="BF380" s="22"/>
      <c r="BG380" s="22"/>
      <c r="BH380" s="22"/>
      <c r="BI380" s="22"/>
      <c r="BJ380" s="22"/>
      <c r="BK380" s="22"/>
      <c r="BL380" s="22"/>
      <c r="BM380" s="22"/>
    </row>
    <row r="381" spans="2:65">
      <c r="B381" s="20"/>
      <c r="D381" s="19"/>
      <c r="E381" s="22"/>
      <c r="F381" s="22"/>
      <c r="G381" s="22"/>
      <c r="H381" s="22"/>
      <c r="I381" s="23"/>
      <c r="J381" s="24"/>
      <c r="K381" s="23"/>
      <c r="L381" s="24"/>
      <c r="M381" s="23"/>
      <c r="N381" s="24"/>
      <c r="O381" s="23"/>
      <c r="P381" s="24"/>
      <c r="Q381" s="23"/>
      <c r="R381" s="23"/>
      <c r="S381" s="23"/>
      <c r="T381" s="23"/>
      <c r="U381" s="23"/>
      <c r="V381" s="23"/>
      <c r="W381" s="23"/>
      <c r="X381" s="23"/>
      <c r="AO381" s="34"/>
      <c r="AP381" s="22"/>
      <c r="AQ381" s="22"/>
      <c r="AR381" s="22"/>
      <c r="AS381" s="34"/>
      <c r="AT381" s="34"/>
      <c r="AV381" s="34"/>
      <c r="AX381" s="35"/>
      <c r="AY381" s="35"/>
      <c r="AZ381" s="35"/>
      <c r="BA381" s="22"/>
      <c r="BB381" s="22"/>
      <c r="BC381" s="23"/>
      <c r="BD381" s="22"/>
      <c r="BE381" s="22"/>
      <c r="BF381" s="22"/>
      <c r="BG381" s="22"/>
      <c r="BH381" s="22"/>
      <c r="BI381" s="22"/>
      <c r="BJ381" s="22"/>
      <c r="BK381" s="22"/>
      <c r="BL381" s="22"/>
      <c r="BM381" s="22"/>
    </row>
    <row r="382" spans="2:65">
      <c r="B382" s="20"/>
      <c r="D382" s="19"/>
      <c r="E382" s="22"/>
      <c r="F382" s="22"/>
      <c r="G382" s="22"/>
      <c r="H382" s="22"/>
      <c r="I382" s="23"/>
      <c r="J382" s="24"/>
      <c r="K382" s="23"/>
      <c r="L382" s="24"/>
      <c r="M382" s="23"/>
      <c r="N382" s="24"/>
      <c r="O382" s="23"/>
      <c r="P382" s="24"/>
      <c r="Q382" s="23"/>
      <c r="R382" s="23"/>
      <c r="S382" s="23"/>
      <c r="T382" s="23"/>
      <c r="U382" s="23"/>
      <c r="V382" s="23"/>
      <c r="W382" s="23"/>
      <c r="X382" s="23"/>
      <c r="AO382" s="34"/>
      <c r="AP382" s="22"/>
      <c r="AQ382" s="22"/>
      <c r="AR382" s="22"/>
      <c r="AS382" s="34"/>
      <c r="AT382" s="34"/>
      <c r="AV382" s="34"/>
      <c r="AX382" s="35"/>
      <c r="AY382" s="35"/>
      <c r="AZ382" s="35"/>
      <c r="BA382" s="22"/>
      <c r="BB382" s="22"/>
      <c r="BC382" s="23"/>
      <c r="BD382" s="22"/>
      <c r="BE382" s="22"/>
      <c r="BF382" s="22"/>
      <c r="BG382" s="22"/>
      <c r="BH382" s="22"/>
      <c r="BI382" s="22"/>
      <c r="BJ382" s="22"/>
      <c r="BK382" s="22"/>
      <c r="BL382" s="22"/>
      <c r="BM382" s="22"/>
    </row>
    <row r="383" spans="2:65">
      <c r="B383" s="20"/>
      <c r="D383" s="19"/>
      <c r="E383" s="22"/>
      <c r="F383" s="22"/>
      <c r="G383" s="22"/>
      <c r="H383" s="22"/>
      <c r="I383" s="23"/>
      <c r="J383" s="24"/>
      <c r="K383" s="23"/>
      <c r="L383" s="24"/>
      <c r="M383" s="23"/>
      <c r="N383" s="24"/>
      <c r="O383" s="23"/>
      <c r="P383" s="24"/>
      <c r="Q383" s="23"/>
      <c r="R383" s="23"/>
      <c r="S383" s="23"/>
      <c r="T383" s="23"/>
      <c r="U383" s="23"/>
      <c r="V383" s="23"/>
      <c r="W383" s="23"/>
      <c r="X383" s="23"/>
      <c r="AO383" s="34"/>
      <c r="AP383" s="22"/>
      <c r="AQ383" s="22"/>
      <c r="AR383" s="22"/>
      <c r="AS383" s="34"/>
      <c r="AT383" s="34"/>
      <c r="AV383" s="34"/>
      <c r="AX383" s="35"/>
      <c r="AY383" s="35"/>
      <c r="AZ383" s="35"/>
      <c r="BA383" s="22"/>
      <c r="BB383" s="22"/>
      <c r="BC383" s="23"/>
      <c r="BD383" s="22"/>
      <c r="BE383" s="22"/>
      <c r="BF383" s="22"/>
      <c r="BG383" s="22"/>
      <c r="BH383" s="22"/>
      <c r="BI383" s="22"/>
      <c r="BJ383" s="22"/>
      <c r="BK383" s="22"/>
      <c r="BL383" s="22"/>
      <c r="BM383" s="22"/>
    </row>
    <row r="384" spans="2:65">
      <c r="B384" s="20"/>
      <c r="D384" s="19"/>
      <c r="E384" s="22"/>
      <c r="F384" s="22"/>
      <c r="G384" s="22"/>
      <c r="H384" s="22"/>
      <c r="I384" s="23"/>
      <c r="J384" s="24"/>
      <c r="K384" s="23"/>
      <c r="L384" s="24"/>
      <c r="M384" s="23"/>
      <c r="N384" s="24"/>
      <c r="O384" s="23"/>
      <c r="P384" s="24"/>
      <c r="Q384" s="23"/>
      <c r="R384" s="23"/>
      <c r="S384" s="23"/>
      <c r="T384" s="23"/>
      <c r="U384" s="23"/>
      <c r="V384" s="23"/>
      <c r="W384" s="23"/>
      <c r="X384" s="23"/>
      <c r="AO384" s="34"/>
      <c r="AP384" s="22"/>
      <c r="AQ384" s="22"/>
      <c r="AR384" s="22"/>
      <c r="AS384" s="34"/>
      <c r="AT384" s="34"/>
      <c r="AV384" s="34"/>
      <c r="AX384" s="35"/>
      <c r="AY384" s="35"/>
      <c r="AZ384" s="35"/>
      <c r="BA384" s="22"/>
      <c r="BB384" s="22"/>
      <c r="BC384" s="23"/>
      <c r="BD384" s="22"/>
      <c r="BE384" s="22"/>
      <c r="BF384" s="22"/>
      <c r="BG384" s="22"/>
      <c r="BH384" s="22"/>
      <c r="BI384" s="22"/>
      <c r="BJ384" s="22"/>
      <c r="BK384" s="22"/>
      <c r="BL384" s="22"/>
      <c r="BM384" s="22"/>
    </row>
    <row r="385" spans="2:65">
      <c r="B385" s="20"/>
      <c r="D385" s="19"/>
      <c r="E385" s="22"/>
      <c r="F385" s="22"/>
      <c r="G385" s="22"/>
      <c r="H385" s="22"/>
      <c r="I385" s="23"/>
      <c r="J385" s="24"/>
      <c r="K385" s="23"/>
      <c r="L385" s="24"/>
      <c r="M385" s="23"/>
      <c r="N385" s="24"/>
      <c r="O385" s="23"/>
      <c r="P385" s="24"/>
      <c r="Q385" s="23"/>
      <c r="R385" s="23"/>
      <c r="S385" s="23"/>
      <c r="T385" s="23"/>
      <c r="U385" s="23"/>
      <c r="V385" s="23"/>
      <c r="W385" s="23"/>
      <c r="X385" s="23"/>
      <c r="AO385" s="34"/>
      <c r="AP385" s="22"/>
      <c r="AQ385" s="22"/>
      <c r="AR385" s="22"/>
      <c r="AS385" s="34"/>
      <c r="AT385" s="34"/>
      <c r="AV385" s="34"/>
      <c r="AX385" s="35"/>
      <c r="AY385" s="35"/>
      <c r="AZ385" s="35"/>
      <c r="BA385" s="22"/>
      <c r="BB385" s="22"/>
      <c r="BC385" s="23"/>
      <c r="BD385" s="22"/>
      <c r="BE385" s="22"/>
      <c r="BF385" s="22"/>
      <c r="BG385" s="22"/>
      <c r="BH385" s="22"/>
      <c r="BI385" s="22"/>
      <c r="BJ385" s="22"/>
      <c r="BK385" s="22"/>
      <c r="BL385" s="22"/>
      <c r="BM385" s="22"/>
    </row>
    <row r="386" spans="2:65">
      <c r="B386" s="20"/>
      <c r="D386" s="19"/>
      <c r="E386" s="22"/>
      <c r="F386" s="22"/>
      <c r="G386" s="22"/>
      <c r="H386" s="22"/>
      <c r="I386" s="23"/>
      <c r="J386" s="24"/>
      <c r="K386" s="23"/>
      <c r="L386" s="24"/>
      <c r="M386" s="23"/>
      <c r="N386" s="24"/>
      <c r="O386" s="23"/>
      <c r="P386" s="24"/>
      <c r="Q386" s="23"/>
      <c r="R386" s="23"/>
      <c r="S386" s="23"/>
      <c r="T386" s="23"/>
      <c r="U386" s="23"/>
      <c r="V386" s="23"/>
      <c r="W386" s="23"/>
      <c r="X386" s="23"/>
      <c r="AO386" s="34"/>
      <c r="AP386" s="22"/>
      <c r="AQ386" s="22"/>
      <c r="AR386" s="22"/>
      <c r="AS386" s="34"/>
      <c r="AT386" s="34"/>
      <c r="AV386" s="34"/>
      <c r="AX386" s="35"/>
      <c r="AY386" s="35"/>
      <c r="AZ386" s="35"/>
      <c r="BA386" s="22"/>
      <c r="BB386" s="22"/>
      <c r="BC386" s="23"/>
      <c r="BD386" s="22"/>
      <c r="BE386" s="22"/>
      <c r="BF386" s="22"/>
      <c r="BG386" s="22"/>
      <c r="BH386" s="22"/>
      <c r="BI386" s="22"/>
      <c r="BJ386" s="22"/>
      <c r="BK386" s="22"/>
      <c r="BL386" s="22"/>
      <c r="BM386" s="22"/>
    </row>
    <row r="387" spans="2:65">
      <c r="B387" s="20"/>
      <c r="D387" s="19"/>
      <c r="E387" s="22"/>
      <c r="F387" s="22"/>
      <c r="G387" s="22"/>
      <c r="H387" s="22"/>
      <c r="I387" s="23"/>
      <c r="J387" s="24"/>
      <c r="K387" s="23"/>
      <c r="L387" s="24"/>
      <c r="M387" s="23"/>
      <c r="N387" s="24"/>
      <c r="O387" s="23"/>
      <c r="P387" s="24"/>
      <c r="Q387" s="23"/>
      <c r="R387" s="23"/>
      <c r="S387" s="23"/>
      <c r="T387" s="23"/>
      <c r="U387" s="23"/>
      <c r="V387" s="23"/>
      <c r="W387" s="23"/>
      <c r="X387" s="23"/>
      <c r="AO387" s="34"/>
      <c r="AP387" s="22"/>
      <c r="AQ387" s="22"/>
      <c r="AR387" s="22"/>
      <c r="AS387" s="34"/>
      <c r="AT387" s="34"/>
      <c r="AV387" s="34"/>
      <c r="AX387" s="35"/>
      <c r="AY387" s="35"/>
      <c r="AZ387" s="35"/>
      <c r="BA387" s="22"/>
      <c r="BB387" s="22"/>
      <c r="BC387" s="23"/>
      <c r="BD387" s="22"/>
      <c r="BE387" s="22"/>
      <c r="BF387" s="22"/>
      <c r="BG387" s="22"/>
      <c r="BH387" s="22"/>
      <c r="BI387" s="22"/>
      <c r="BJ387" s="22"/>
      <c r="BK387" s="22"/>
      <c r="BL387" s="22"/>
      <c r="BM387" s="22"/>
    </row>
    <row r="388" spans="2:65">
      <c r="B388" s="20"/>
      <c r="D388" s="19"/>
      <c r="E388" s="22"/>
      <c r="F388" s="22"/>
      <c r="G388" s="22"/>
      <c r="H388" s="22"/>
      <c r="I388" s="23"/>
      <c r="J388" s="24"/>
      <c r="K388" s="23"/>
      <c r="L388" s="24"/>
      <c r="M388" s="23"/>
      <c r="N388" s="24"/>
      <c r="O388" s="23"/>
      <c r="P388" s="24"/>
      <c r="Q388" s="23"/>
      <c r="R388" s="23"/>
      <c r="S388" s="23"/>
      <c r="T388" s="23"/>
      <c r="U388" s="23"/>
      <c r="V388" s="23"/>
      <c r="W388" s="23"/>
      <c r="X388" s="23"/>
      <c r="AO388" s="34"/>
      <c r="AP388" s="22"/>
      <c r="AQ388" s="22"/>
      <c r="AR388" s="22"/>
      <c r="AS388" s="34"/>
      <c r="AT388" s="34"/>
      <c r="AV388" s="34"/>
      <c r="AX388" s="35"/>
      <c r="AY388" s="35"/>
      <c r="AZ388" s="35"/>
      <c r="BA388" s="22"/>
      <c r="BB388" s="22"/>
      <c r="BC388" s="23"/>
      <c r="BD388" s="22"/>
      <c r="BE388" s="22"/>
      <c r="BF388" s="22"/>
      <c r="BG388" s="22"/>
      <c r="BH388" s="22"/>
      <c r="BI388" s="22"/>
      <c r="BJ388" s="22"/>
      <c r="BK388" s="22"/>
      <c r="BL388" s="22"/>
      <c r="BM388" s="22"/>
    </row>
    <row r="389" spans="2:65">
      <c r="B389" s="20"/>
      <c r="D389" s="19"/>
      <c r="E389" s="22"/>
      <c r="F389" s="22"/>
      <c r="G389" s="22"/>
      <c r="H389" s="22"/>
      <c r="I389" s="23"/>
      <c r="J389" s="24"/>
      <c r="K389" s="23"/>
      <c r="L389" s="24"/>
      <c r="M389" s="23"/>
      <c r="N389" s="24"/>
      <c r="O389" s="23"/>
      <c r="P389" s="24"/>
      <c r="Q389" s="23"/>
      <c r="R389" s="23"/>
      <c r="S389" s="23"/>
      <c r="T389" s="23"/>
      <c r="U389" s="23"/>
      <c r="V389" s="23"/>
      <c r="W389" s="23"/>
      <c r="X389" s="23"/>
      <c r="AO389" s="34"/>
      <c r="AP389" s="22"/>
      <c r="AQ389" s="22"/>
      <c r="AR389" s="22"/>
      <c r="AS389" s="34"/>
      <c r="AT389" s="34"/>
      <c r="AV389" s="34"/>
      <c r="AX389" s="35"/>
      <c r="AY389" s="35"/>
      <c r="AZ389" s="35"/>
      <c r="BA389" s="22"/>
      <c r="BB389" s="22"/>
      <c r="BC389" s="23"/>
      <c r="BD389" s="22"/>
      <c r="BE389" s="22"/>
      <c r="BF389" s="22"/>
      <c r="BG389" s="22"/>
      <c r="BH389" s="22"/>
      <c r="BI389" s="22"/>
      <c r="BJ389" s="22"/>
      <c r="BK389" s="22"/>
      <c r="BL389" s="22"/>
      <c r="BM389" s="22"/>
    </row>
    <row r="390" spans="2:65">
      <c r="B390" s="20"/>
      <c r="D390" s="19"/>
      <c r="E390" s="22"/>
      <c r="F390" s="22"/>
      <c r="G390" s="22"/>
      <c r="H390" s="22"/>
      <c r="I390" s="23"/>
      <c r="J390" s="24"/>
      <c r="K390" s="23"/>
      <c r="L390" s="24"/>
      <c r="M390" s="23"/>
      <c r="N390" s="24"/>
      <c r="O390" s="23"/>
      <c r="P390" s="24"/>
      <c r="Q390" s="23"/>
      <c r="R390" s="23"/>
      <c r="S390" s="23"/>
      <c r="T390" s="23"/>
      <c r="U390" s="23"/>
      <c r="V390" s="23"/>
      <c r="W390" s="23"/>
      <c r="X390" s="23"/>
      <c r="AO390" s="34"/>
      <c r="AP390" s="22"/>
      <c r="AQ390" s="22"/>
      <c r="AR390" s="22"/>
      <c r="AS390" s="34"/>
      <c r="AT390" s="34"/>
      <c r="AV390" s="34"/>
      <c r="AX390" s="35"/>
      <c r="AY390" s="35"/>
      <c r="AZ390" s="35"/>
      <c r="BA390" s="22"/>
      <c r="BB390" s="22"/>
      <c r="BC390" s="23"/>
      <c r="BD390" s="22"/>
      <c r="BE390" s="22"/>
      <c r="BF390" s="22"/>
      <c r="BG390" s="22"/>
      <c r="BH390" s="22"/>
      <c r="BI390" s="22"/>
      <c r="BJ390" s="22"/>
      <c r="BK390" s="22"/>
      <c r="BL390" s="22"/>
      <c r="BM390" s="22"/>
    </row>
    <row r="391" spans="2:65">
      <c r="B391" s="20"/>
      <c r="D391" s="19"/>
      <c r="E391" s="22"/>
      <c r="F391" s="22"/>
      <c r="G391" s="22"/>
      <c r="H391" s="22"/>
      <c r="I391" s="23"/>
      <c r="J391" s="24"/>
      <c r="K391" s="23"/>
      <c r="L391" s="24"/>
      <c r="M391" s="23"/>
      <c r="N391" s="24"/>
      <c r="O391" s="23"/>
      <c r="P391" s="24"/>
      <c r="Q391" s="23"/>
      <c r="R391" s="23"/>
      <c r="S391" s="23"/>
      <c r="T391" s="23"/>
      <c r="U391" s="23"/>
      <c r="V391" s="23"/>
      <c r="W391" s="23"/>
      <c r="X391" s="23"/>
      <c r="AO391" s="34"/>
      <c r="AP391" s="22"/>
      <c r="AQ391" s="22"/>
      <c r="AR391" s="22"/>
      <c r="AS391" s="34"/>
      <c r="AT391" s="34"/>
      <c r="AV391" s="34"/>
      <c r="AX391" s="35"/>
      <c r="AY391" s="35"/>
      <c r="AZ391" s="35"/>
      <c r="BA391" s="22"/>
      <c r="BB391" s="22"/>
      <c r="BC391" s="23"/>
      <c r="BD391" s="22"/>
      <c r="BE391" s="22"/>
      <c r="BF391" s="22"/>
      <c r="BG391" s="22"/>
      <c r="BH391" s="22"/>
      <c r="BI391" s="22"/>
      <c r="BJ391" s="22"/>
      <c r="BK391" s="22"/>
      <c r="BL391" s="22"/>
      <c r="BM391" s="22"/>
    </row>
    <row r="392" spans="2:65">
      <c r="B392" s="20"/>
      <c r="D392" s="19"/>
      <c r="E392" s="22"/>
      <c r="F392" s="22"/>
      <c r="G392" s="22"/>
      <c r="H392" s="22"/>
      <c r="I392" s="23"/>
      <c r="J392" s="24"/>
      <c r="K392" s="23"/>
      <c r="L392" s="24"/>
      <c r="M392" s="23"/>
      <c r="N392" s="24"/>
      <c r="O392" s="23"/>
      <c r="P392" s="24"/>
      <c r="Q392" s="23"/>
      <c r="R392" s="23"/>
      <c r="S392" s="23"/>
      <c r="T392" s="23"/>
      <c r="U392" s="23"/>
      <c r="V392" s="23"/>
      <c r="W392" s="23"/>
      <c r="X392" s="23"/>
      <c r="AO392" s="34"/>
      <c r="AP392" s="22"/>
      <c r="AQ392" s="22"/>
      <c r="AR392" s="22"/>
      <c r="AS392" s="34"/>
      <c r="AT392" s="34"/>
      <c r="AV392" s="34"/>
      <c r="AX392" s="35"/>
      <c r="AY392" s="35"/>
      <c r="AZ392" s="35"/>
      <c r="BA392" s="22"/>
      <c r="BB392" s="22"/>
      <c r="BC392" s="23"/>
      <c r="BD392" s="22"/>
      <c r="BE392" s="22"/>
      <c r="BF392" s="22"/>
      <c r="BG392" s="22"/>
      <c r="BH392" s="22"/>
      <c r="BI392" s="22"/>
      <c r="BJ392" s="22"/>
      <c r="BK392" s="22"/>
      <c r="BL392" s="22"/>
      <c r="BM392" s="22"/>
    </row>
    <row r="393" spans="2:65">
      <c r="B393" s="20"/>
      <c r="D393" s="19"/>
      <c r="E393" s="22"/>
      <c r="F393" s="22"/>
      <c r="G393" s="22"/>
      <c r="H393" s="22"/>
      <c r="I393" s="23"/>
      <c r="J393" s="24"/>
      <c r="K393" s="23"/>
      <c r="L393" s="24"/>
      <c r="M393" s="23"/>
      <c r="N393" s="24"/>
      <c r="O393" s="23"/>
      <c r="P393" s="24"/>
      <c r="Q393" s="23"/>
      <c r="R393" s="23"/>
      <c r="S393" s="23"/>
      <c r="T393" s="23"/>
      <c r="U393" s="23"/>
      <c r="V393" s="23"/>
      <c r="W393" s="23"/>
      <c r="X393" s="23"/>
      <c r="AO393" s="34"/>
      <c r="AP393" s="22"/>
      <c r="AQ393" s="22"/>
      <c r="AR393" s="22"/>
      <c r="AS393" s="34"/>
      <c r="AT393" s="34"/>
      <c r="AV393" s="34"/>
      <c r="AX393" s="35"/>
      <c r="AY393" s="35"/>
      <c r="AZ393" s="35"/>
      <c r="BA393" s="22"/>
      <c r="BB393" s="22"/>
      <c r="BC393" s="23"/>
      <c r="BD393" s="22"/>
      <c r="BE393" s="22"/>
      <c r="BF393" s="22"/>
      <c r="BG393" s="22"/>
      <c r="BH393" s="22"/>
      <c r="BI393" s="22"/>
      <c r="BJ393" s="22"/>
      <c r="BK393" s="22"/>
      <c r="BL393" s="22"/>
      <c r="BM393" s="22"/>
    </row>
    <row r="394" spans="2:65">
      <c r="B394" s="20"/>
      <c r="D394" s="19"/>
      <c r="E394" s="22"/>
      <c r="F394" s="22"/>
      <c r="G394" s="22"/>
      <c r="H394" s="22"/>
      <c r="I394" s="23"/>
      <c r="J394" s="24"/>
      <c r="K394" s="23"/>
      <c r="L394" s="24"/>
      <c r="M394" s="23"/>
      <c r="N394" s="24"/>
      <c r="O394" s="23"/>
      <c r="P394" s="24"/>
      <c r="Q394" s="23"/>
      <c r="R394" s="23"/>
      <c r="S394" s="23"/>
      <c r="T394" s="23"/>
      <c r="U394" s="23"/>
      <c r="V394" s="23"/>
      <c r="W394" s="23"/>
      <c r="X394" s="23"/>
      <c r="AO394" s="34"/>
      <c r="AP394" s="22"/>
      <c r="AQ394" s="22"/>
      <c r="AR394" s="22"/>
      <c r="AS394" s="34"/>
      <c r="AT394" s="34"/>
      <c r="AV394" s="34"/>
      <c r="AX394" s="35"/>
      <c r="AY394" s="35"/>
      <c r="AZ394" s="35"/>
      <c r="BA394" s="22"/>
      <c r="BB394" s="22"/>
      <c r="BC394" s="23"/>
      <c r="BD394" s="22"/>
      <c r="BE394" s="22"/>
      <c r="BF394" s="22"/>
      <c r="BG394" s="22"/>
      <c r="BH394" s="22"/>
      <c r="BI394" s="22"/>
      <c r="BJ394" s="22"/>
      <c r="BK394" s="22"/>
      <c r="BL394" s="22"/>
      <c r="BM394" s="22"/>
    </row>
    <row r="395" spans="2:65">
      <c r="B395" s="20"/>
      <c r="D395" s="19"/>
      <c r="E395" s="22"/>
      <c r="F395" s="22"/>
      <c r="G395" s="22"/>
      <c r="H395" s="22"/>
      <c r="I395" s="23"/>
      <c r="J395" s="24"/>
      <c r="K395" s="23"/>
      <c r="L395" s="24"/>
      <c r="M395" s="23"/>
      <c r="N395" s="24"/>
      <c r="O395" s="23"/>
      <c r="P395" s="24"/>
      <c r="Q395" s="23"/>
      <c r="R395" s="23"/>
      <c r="S395" s="23"/>
      <c r="T395" s="23"/>
      <c r="U395" s="23"/>
      <c r="V395" s="23"/>
      <c r="W395" s="23"/>
      <c r="X395" s="23"/>
      <c r="AO395" s="34"/>
      <c r="AP395" s="22"/>
      <c r="AQ395" s="22"/>
      <c r="AR395" s="22"/>
      <c r="AS395" s="34"/>
      <c r="AT395" s="34"/>
      <c r="AV395" s="34"/>
      <c r="AX395" s="35"/>
      <c r="AY395" s="35"/>
      <c r="AZ395" s="35"/>
      <c r="BA395" s="22"/>
      <c r="BB395" s="22"/>
      <c r="BC395" s="23"/>
      <c r="BD395" s="22"/>
      <c r="BE395" s="22"/>
      <c r="BF395" s="22"/>
      <c r="BG395" s="22"/>
      <c r="BH395" s="22"/>
      <c r="BI395" s="22"/>
      <c r="BJ395" s="22"/>
      <c r="BK395" s="22"/>
      <c r="BL395" s="22"/>
      <c r="BM395" s="22"/>
    </row>
    <row r="396" spans="2:65">
      <c r="B396" s="20"/>
      <c r="D396" s="19"/>
      <c r="E396" s="22"/>
      <c r="F396" s="22"/>
      <c r="G396" s="22"/>
      <c r="H396" s="22"/>
      <c r="I396" s="23"/>
      <c r="J396" s="24"/>
      <c r="K396" s="23"/>
      <c r="L396" s="24"/>
      <c r="M396" s="23"/>
      <c r="N396" s="24"/>
      <c r="O396" s="23"/>
      <c r="P396" s="24"/>
      <c r="Q396" s="23"/>
      <c r="R396" s="23"/>
      <c r="S396" s="23"/>
      <c r="T396" s="23"/>
      <c r="U396" s="23"/>
      <c r="V396" s="23"/>
      <c r="W396" s="23"/>
      <c r="X396" s="23"/>
      <c r="AO396" s="34"/>
      <c r="AP396" s="22"/>
      <c r="AQ396" s="22"/>
      <c r="AR396" s="22"/>
      <c r="AS396" s="34"/>
      <c r="AT396" s="34"/>
      <c r="AV396" s="34"/>
      <c r="AX396" s="35"/>
      <c r="AY396" s="35"/>
      <c r="AZ396" s="35"/>
      <c r="BA396" s="22"/>
      <c r="BB396" s="22"/>
      <c r="BC396" s="23"/>
      <c r="BD396" s="22"/>
      <c r="BE396" s="22"/>
      <c r="BF396" s="22"/>
      <c r="BG396" s="22"/>
      <c r="BH396" s="22"/>
      <c r="BI396" s="22"/>
      <c r="BJ396" s="22"/>
      <c r="BK396" s="22"/>
      <c r="BL396" s="22"/>
      <c r="BM396" s="22"/>
    </row>
    <row r="397" spans="2:65">
      <c r="B397" s="20"/>
      <c r="D397" s="19"/>
      <c r="E397" s="22"/>
      <c r="F397" s="22"/>
      <c r="G397" s="22"/>
      <c r="H397" s="22"/>
      <c r="I397" s="23"/>
      <c r="J397" s="24"/>
      <c r="K397" s="23"/>
      <c r="L397" s="24"/>
      <c r="M397" s="23"/>
      <c r="N397" s="24"/>
      <c r="O397" s="23"/>
      <c r="P397" s="24"/>
      <c r="Q397" s="23"/>
      <c r="R397" s="23"/>
      <c r="S397" s="23"/>
      <c r="T397" s="23"/>
      <c r="U397" s="23"/>
      <c r="V397" s="23"/>
      <c r="W397" s="23"/>
      <c r="X397" s="23"/>
      <c r="AO397" s="34"/>
      <c r="AP397" s="22"/>
      <c r="AQ397" s="22"/>
      <c r="AR397" s="22"/>
      <c r="AS397" s="34"/>
      <c r="AT397" s="34"/>
      <c r="AV397" s="34"/>
      <c r="AX397" s="35"/>
      <c r="AY397" s="35"/>
      <c r="AZ397" s="35"/>
      <c r="BA397" s="22"/>
      <c r="BB397" s="22"/>
      <c r="BC397" s="23"/>
      <c r="BD397" s="22"/>
      <c r="BE397" s="22"/>
      <c r="BF397" s="22"/>
      <c r="BG397" s="22"/>
      <c r="BH397" s="22"/>
      <c r="BI397" s="22"/>
      <c r="BJ397" s="22"/>
      <c r="BK397" s="22"/>
      <c r="BL397" s="22"/>
      <c r="BM397" s="22"/>
    </row>
    <row r="398" spans="2:65">
      <c r="B398" s="20"/>
      <c r="D398" s="19"/>
      <c r="E398" s="22"/>
      <c r="F398" s="22"/>
      <c r="G398" s="22"/>
      <c r="H398" s="22"/>
      <c r="I398" s="23"/>
      <c r="J398" s="24"/>
      <c r="K398" s="23"/>
      <c r="L398" s="24"/>
      <c r="M398" s="23"/>
      <c r="N398" s="24"/>
      <c r="O398" s="23"/>
      <c r="P398" s="24"/>
      <c r="Q398" s="23"/>
      <c r="R398" s="23"/>
      <c r="S398" s="23"/>
      <c r="T398" s="23"/>
      <c r="U398" s="23"/>
      <c r="V398" s="23"/>
      <c r="W398" s="23"/>
      <c r="X398" s="23"/>
      <c r="AO398" s="34"/>
      <c r="AP398" s="22"/>
      <c r="AQ398" s="22"/>
      <c r="AR398" s="22"/>
      <c r="AS398" s="34"/>
      <c r="AT398" s="34"/>
      <c r="AV398" s="34"/>
      <c r="AX398" s="35"/>
      <c r="AY398" s="35"/>
      <c r="AZ398" s="35"/>
      <c r="BA398" s="22"/>
      <c r="BB398" s="22"/>
      <c r="BC398" s="23"/>
      <c r="BD398" s="22"/>
      <c r="BE398" s="22"/>
      <c r="BF398" s="22"/>
      <c r="BG398" s="22"/>
      <c r="BH398" s="22"/>
      <c r="BI398" s="22"/>
      <c r="BJ398" s="22"/>
      <c r="BK398" s="22"/>
      <c r="BL398" s="22"/>
      <c r="BM398" s="22"/>
    </row>
    <row r="399" spans="2:65">
      <c r="B399" s="20"/>
      <c r="D399" s="19"/>
      <c r="E399" s="22"/>
      <c r="F399" s="22"/>
      <c r="G399" s="22"/>
      <c r="H399" s="22"/>
      <c r="I399" s="23"/>
      <c r="J399" s="24"/>
      <c r="K399" s="23"/>
      <c r="L399" s="24"/>
      <c r="M399" s="23"/>
      <c r="N399" s="24"/>
      <c r="O399" s="23"/>
      <c r="P399" s="24"/>
      <c r="Q399" s="23"/>
      <c r="R399" s="23"/>
      <c r="S399" s="23"/>
      <c r="T399" s="23"/>
      <c r="U399" s="23"/>
      <c r="V399" s="23"/>
      <c r="W399" s="23"/>
      <c r="X399" s="23"/>
      <c r="AO399" s="34"/>
      <c r="AP399" s="22"/>
      <c r="AQ399" s="22"/>
      <c r="AR399" s="22"/>
      <c r="AS399" s="34"/>
      <c r="AT399" s="34"/>
      <c r="AV399" s="34"/>
      <c r="AX399" s="35"/>
      <c r="AY399" s="35"/>
      <c r="AZ399" s="35"/>
      <c r="BA399" s="22"/>
      <c r="BB399" s="22"/>
      <c r="BC399" s="23"/>
      <c r="BD399" s="22"/>
      <c r="BE399" s="22"/>
      <c r="BF399" s="22"/>
      <c r="BG399" s="22"/>
      <c r="BH399" s="22"/>
      <c r="BI399" s="22"/>
      <c r="BJ399" s="22"/>
      <c r="BK399" s="22"/>
      <c r="BL399" s="22"/>
      <c r="BM399" s="22"/>
    </row>
    <row r="400" spans="2:65">
      <c r="B400" s="20"/>
      <c r="D400" s="19"/>
      <c r="E400" s="22"/>
      <c r="F400" s="22"/>
      <c r="G400" s="22"/>
      <c r="H400" s="22"/>
      <c r="I400" s="23"/>
      <c r="J400" s="24"/>
      <c r="K400" s="23"/>
      <c r="L400" s="24"/>
      <c r="M400" s="23"/>
      <c r="N400" s="24"/>
      <c r="O400" s="23"/>
      <c r="P400" s="24"/>
      <c r="Q400" s="23"/>
      <c r="R400" s="23"/>
      <c r="S400" s="23"/>
      <c r="T400" s="23"/>
      <c r="U400" s="23"/>
      <c r="V400" s="23"/>
      <c r="W400" s="23"/>
      <c r="X400" s="23"/>
      <c r="AO400" s="34"/>
      <c r="AP400" s="22"/>
      <c r="AQ400" s="22"/>
      <c r="AR400" s="22"/>
      <c r="AS400" s="34"/>
      <c r="AT400" s="34"/>
      <c r="AV400" s="34"/>
      <c r="AX400" s="35"/>
      <c r="AY400" s="35"/>
      <c r="AZ400" s="35"/>
      <c r="BA400" s="22"/>
      <c r="BB400" s="22"/>
      <c r="BC400" s="23"/>
      <c r="BD400" s="22"/>
      <c r="BE400" s="22"/>
      <c r="BF400" s="22"/>
      <c r="BG400" s="22"/>
      <c r="BH400" s="22"/>
      <c r="BI400" s="22"/>
      <c r="BJ400" s="22"/>
      <c r="BK400" s="22"/>
      <c r="BL400" s="22"/>
      <c r="BM400" s="22"/>
    </row>
    <row r="401" spans="2:65">
      <c r="B401" s="20"/>
      <c r="D401" s="19"/>
      <c r="E401" s="22"/>
      <c r="F401" s="22"/>
      <c r="G401" s="22"/>
      <c r="H401" s="22"/>
      <c r="I401" s="23"/>
      <c r="J401" s="24"/>
      <c r="K401" s="23"/>
      <c r="L401" s="24"/>
      <c r="M401" s="23"/>
      <c r="N401" s="24"/>
      <c r="O401" s="23"/>
      <c r="P401" s="24"/>
      <c r="Q401" s="23"/>
      <c r="R401" s="23"/>
      <c r="S401" s="23"/>
      <c r="T401" s="23"/>
      <c r="U401" s="23"/>
      <c r="V401" s="23"/>
      <c r="W401" s="23"/>
      <c r="X401" s="23"/>
      <c r="AO401" s="34"/>
      <c r="AP401" s="22"/>
      <c r="AQ401" s="22"/>
      <c r="AR401" s="22"/>
      <c r="AS401" s="34"/>
      <c r="AT401" s="34"/>
      <c r="AV401" s="34"/>
      <c r="AX401" s="35"/>
      <c r="AY401" s="35"/>
      <c r="AZ401" s="35"/>
      <c r="BA401" s="22"/>
      <c r="BB401" s="22"/>
      <c r="BC401" s="23"/>
      <c r="BD401" s="22"/>
      <c r="BE401" s="22"/>
      <c r="BF401" s="22"/>
      <c r="BG401" s="22"/>
      <c r="BH401" s="22"/>
      <c r="BI401" s="22"/>
      <c r="BJ401" s="22"/>
      <c r="BK401" s="22"/>
      <c r="BL401" s="22"/>
      <c r="BM401" s="22"/>
    </row>
    <row r="402" spans="2:65">
      <c r="B402" s="20"/>
      <c r="D402" s="19"/>
      <c r="E402" s="22"/>
      <c r="F402" s="22"/>
      <c r="G402" s="22"/>
      <c r="H402" s="22"/>
      <c r="I402" s="23"/>
      <c r="J402" s="24"/>
      <c r="K402" s="23"/>
      <c r="L402" s="24"/>
      <c r="M402" s="23"/>
      <c r="N402" s="24"/>
      <c r="O402" s="23"/>
      <c r="P402" s="24"/>
      <c r="Q402" s="23"/>
      <c r="R402" s="23"/>
      <c r="S402" s="23"/>
      <c r="T402" s="23"/>
      <c r="U402" s="23"/>
      <c r="V402" s="23"/>
      <c r="W402" s="23"/>
      <c r="X402" s="23"/>
      <c r="AO402" s="34"/>
      <c r="AP402" s="22"/>
      <c r="AQ402" s="22"/>
      <c r="AR402" s="22"/>
      <c r="AS402" s="34"/>
      <c r="AT402" s="34"/>
      <c r="AV402" s="34"/>
      <c r="AX402" s="35"/>
      <c r="AY402" s="35"/>
      <c r="AZ402" s="35"/>
      <c r="BA402" s="22"/>
      <c r="BB402" s="22"/>
      <c r="BC402" s="23"/>
      <c r="BD402" s="22"/>
      <c r="BE402" s="22"/>
      <c r="BF402" s="22"/>
      <c r="BG402" s="22"/>
      <c r="BH402" s="22"/>
      <c r="BI402" s="22"/>
      <c r="BJ402" s="22"/>
      <c r="BK402" s="22"/>
      <c r="BL402" s="22"/>
      <c r="BM402" s="22"/>
    </row>
    <row r="403" spans="2:65">
      <c r="B403" s="20"/>
      <c r="D403" s="19"/>
      <c r="E403" s="22"/>
      <c r="F403" s="22"/>
      <c r="G403" s="22"/>
      <c r="H403" s="22"/>
      <c r="I403" s="23"/>
      <c r="J403" s="24"/>
      <c r="K403" s="23"/>
      <c r="L403" s="24"/>
      <c r="M403" s="23"/>
      <c r="N403" s="24"/>
      <c r="O403" s="23"/>
      <c r="P403" s="24"/>
      <c r="Q403" s="23"/>
      <c r="R403" s="23"/>
      <c r="S403" s="23"/>
      <c r="T403" s="23"/>
      <c r="U403" s="23"/>
      <c r="V403" s="23"/>
      <c r="W403" s="23"/>
      <c r="X403" s="23"/>
      <c r="AO403" s="34"/>
      <c r="AP403" s="22"/>
      <c r="AQ403" s="22"/>
      <c r="AR403" s="22"/>
      <c r="AS403" s="34"/>
      <c r="AT403" s="34"/>
      <c r="AV403" s="34"/>
      <c r="AX403" s="35"/>
      <c r="AY403" s="35"/>
      <c r="AZ403" s="35"/>
      <c r="BA403" s="22"/>
      <c r="BB403" s="22"/>
      <c r="BC403" s="23"/>
      <c r="BD403" s="22"/>
      <c r="BE403" s="22"/>
      <c r="BF403" s="22"/>
      <c r="BG403" s="22"/>
      <c r="BH403" s="22"/>
      <c r="BI403" s="22"/>
      <c r="BJ403" s="22"/>
      <c r="BK403" s="22"/>
      <c r="BL403" s="22"/>
      <c r="BM403" s="22"/>
    </row>
    <row r="404" spans="2:65">
      <c r="B404" s="20"/>
      <c r="D404" s="19"/>
      <c r="E404" s="22"/>
      <c r="F404" s="22"/>
      <c r="G404" s="22"/>
      <c r="H404" s="22"/>
      <c r="I404" s="23"/>
      <c r="J404" s="24"/>
      <c r="K404" s="23"/>
      <c r="L404" s="24"/>
      <c r="M404" s="23"/>
      <c r="N404" s="24"/>
      <c r="O404" s="23"/>
      <c r="P404" s="24"/>
      <c r="Q404" s="23"/>
      <c r="R404" s="23"/>
      <c r="S404" s="23"/>
      <c r="T404" s="23"/>
      <c r="U404" s="23"/>
      <c r="V404" s="23"/>
      <c r="W404" s="23"/>
      <c r="X404" s="23"/>
      <c r="AO404" s="34"/>
      <c r="AP404" s="22"/>
      <c r="AQ404" s="22"/>
      <c r="AR404" s="22"/>
      <c r="AS404" s="34"/>
      <c r="AT404" s="34"/>
      <c r="AV404" s="34"/>
      <c r="AX404" s="35"/>
      <c r="AY404" s="35"/>
      <c r="AZ404" s="35"/>
      <c r="BA404" s="22"/>
      <c r="BB404" s="22"/>
      <c r="BC404" s="23"/>
      <c r="BD404" s="22"/>
      <c r="BE404" s="22"/>
      <c r="BF404" s="22"/>
      <c r="BG404" s="22"/>
      <c r="BH404" s="22"/>
      <c r="BI404" s="22"/>
      <c r="BJ404" s="22"/>
      <c r="BK404" s="22"/>
      <c r="BL404" s="22"/>
      <c r="BM404" s="22"/>
    </row>
    <row r="405" spans="2:65">
      <c r="B405" s="20"/>
      <c r="D405" s="19"/>
      <c r="E405" s="22"/>
      <c r="F405" s="22"/>
      <c r="G405" s="22"/>
      <c r="H405" s="22"/>
      <c r="I405" s="23"/>
      <c r="J405" s="24"/>
      <c r="K405" s="23"/>
      <c r="L405" s="24"/>
      <c r="M405" s="23"/>
      <c r="N405" s="24"/>
      <c r="O405" s="23"/>
      <c r="P405" s="24"/>
      <c r="Q405" s="23"/>
      <c r="R405" s="23"/>
      <c r="S405" s="23"/>
      <c r="T405" s="23"/>
      <c r="U405" s="23"/>
      <c r="V405" s="23"/>
      <c r="W405" s="23"/>
      <c r="X405" s="23"/>
      <c r="AO405" s="34"/>
      <c r="AP405" s="22"/>
      <c r="AQ405" s="22"/>
      <c r="AR405" s="22"/>
      <c r="AS405" s="34"/>
      <c r="AT405" s="34"/>
      <c r="AV405" s="34"/>
      <c r="AX405" s="35"/>
      <c r="AY405" s="35"/>
      <c r="AZ405" s="35"/>
      <c r="BA405" s="22"/>
      <c r="BB405" s="22"/>
      <c r="BC405" s="23"/>
      <c r="BD405" s="22"/>
      <c r="BE405" s="22"/>
      <c r="BF405" s="22"/>
      <c r="BG405" s="22"/>
      <c r="BH405" s="22"/>
      <c r="BI405" s="22"/>
      <c r="BJ405" s="22"/>
      <c r="BK405" s="22"/>
      <c r="BL405" s="22"/>
      <c r="BM405" s="22"/>
    </row>
    <row r="406" spans="2:65">
      <c r="B406" s="20"/>
      <c r="D406" s="19"/>
      <c r="E406" s="22"/>
      <c r="F406" s="22"/>
      <c r="G406" s="22"/>
      <c r="H406" s="22"/>
      <c r="I406" s="23"/>
      <c r="J406" s="24"/>
      <c r="K406" s="23"/>
      <c r="L406" s="24"/>
      <c r="M406" s="23"/>
      <c r="N406" s="24"/>
      <c r="O406" s="23"/>
      <c r="P406" s="24"/>
      <c r="Q406" s="23"/>
      <c r="R406" s="23"/>
      <c r="S406" s="23"/>
      <c r="T406" s="23"/>
      <c r="U406" s="23"/>
      <c r="V406" s="23"/>
      <c r="W406" s="23"/>
      <c r="X406" s="23"/>
      <c r="AO406" s="34"/>
      <c r="AP406" s="22"/>
      <c r="AQ406" s="22"/>
      <c r="AR406" s="22"/>
      <c r="AS406" s="34"/>
      <c r="AT406" s="34"/>
      <c r="AV406" s="34"/>
      <c r="AX406" s="35"/>
      <c r="AY406" s="35"/>
      <c r="AZ406" s="35"/>
      <c r="BA406" s="22"/>
      <c r="BB406" s="22"/>
      <c r="BC406" s="23"/>
      <c r="BD406" s="22"/>
      <c r="BE406" s="22"/>
      <c r="BF406" s="22"/>
      <c r="BG406" s="22"/>
      <c r="BH406" s="22"/>
      <c r="BI406" s="22"/>
      <c r="BJ406" s="22"/>
      <c r="BK406" s="22"/>
      <c r="BL406" s="22"/>
      <c r="BM406" s="22"/>
    </row>
    <row r="407" spans="2:65">
      <c r="B407" s="20"/>
      <c r="D407" s="19"/>
      <c r="E407" s="22"/>
      <c r="F407" s="22"/>
      <c r="G407" s="22"/>
      <c r="H407" s="22"/>
      <c r="I407" s="23"/>
      <c r="J407" s="24"/>
      <c r="K407" s="23"/>
      <c r="L407" s="24"/>
      <c r="M407" s="23"/>
      <c r="N407" s="24"/>
      <c r="O407" s="23"/>
      <c r="P407" s="24"/>
      <c r="Q407" s="23"/>
      <c r="R407" s="23"/>
      <c r="S407" s="23"/>
      <c r="T407" s="23"/>
      <c r="U407" s="23"/>
      <c r="V407" s="23"/>
      <c r="W407" s="23"/>
      <c r="X407" s="23"/>
      <c r="AO407" s="34"/>
      <c r="AP407" s="22"/>
      <c r="AQ407" s="22"/>
      <c r="AR407" s="22"/>
      <c r="AS407" s="34"/>
      <c r="AT407" s="34"/>
      <c r="AV407" s="34"/>
      <c r="AX407" s="35"/>
      <c r="AY407" s="35"/>
      <c r="AZ407" s="35"/>
      <c r="BA407" s="22"/>
      <c r="BB407" s="22"/>
      <c r="BC407" s="23"/>
      <c r="BD407" s="22"/>
      <c r="BE407" s="22"/>
      <c r="BF407" s="22"/>
      <c r="BG407" s="22"/>
      <c r="BH407" s="22"/>
      <c r="BI407" s="22"/>
      <c r="BJ407" s="22"/>
      <c r="BK407" s="22"/>
      <c r="BL407" s="22"/>
      <c r="BM407" s="22"/>
    </row>
    <row r="408" spans="2:65">
      <c r="B408" s="20"/>
      <c r="D408" s="19"/>
      <c r="E408" s="22"/>
      <c r="F408" s="22"/>
      <c r="G408" s="22"/>
      <c r="H408" s="22"/>
      <c r="I408" s="23"/>
      <c r="J408" s="24"/>
      <c r="K408" s="23"/>
      <c r="L408" s="24"/>
      <c r="M408" s="23"/>
      <c r="N408" s="24"/>
      <c r="O408" s="23"/>
      <c r="P408" s="24"/>
      <c r="Q408" s="23"/>
      <c r="R408" s="23"/>
      <c r="S408" s="23"/>
      <c r="T408" s="23"/>
      <c r="U408" s="23"/>
      <c r="V408" s="23"/>
      <c r="W408" s="23"/>
      <c r="X408" s="23"/>
      <c r="AO408" s="34"/>
      <c r="AP408" s="22"/>
      <c r="AQ408" s="22"/>
      <c r="AR408" s="22"/>
      <c r="AS408" s="34"/>
      <c r="AT408" s="34"/>
      <c r="AV408" s="34"/>
      <c r="AX408" s="35"/>
      <c r="AY408" s="35"/>
      <c r="AZ408" s="35"/>
      <c r="BA408" s="22"/>
      <c r="BB408" s="22"/>
      <c r="BC408" s="23"/>
      <c r="BD408" s="22"/>
      <c r="BE408" s="22"/>
      <c r="BF408" s="22"/>
      <c r="BG408" s="22"/>
      <c r="BH408" s="22"/>
      <c r="BI408" s="22"/>
      <c r="BJ408" s="22"/>
      <c r="BK408" s="22"/>
      <c r="BL408" s="22"/>
      <c r="BM408" s="22"/>
    </row>
    <row r="409" spans="2:65">
      <c r="B409" s="20"/>
      <c r="D409" s="19"/>
      <c r="E409" s="22"/>
      <c r="F409" s="22"/>
      <c r="G409" s="22"/>
      <c r="H409" s="22"/>
      <c r="I409" s="23"/>
      <c r="J409" s="24"/>
      <c r="K409" s="23"/>
      <c r="L409" s="24"/>
      <c r="M409" s="23"/>
      <c r="N409" s="24"/>
      <c r="O409" s="23"/>
      <c r="P409" s="24"/>
      <c r="Q409" s="23"/>
      <c r="R409" s="23"/>
      <c r="S409" s="23"/>
      <c r="T409" s="23"/>
      <c r="U409" s="23"/>
      <c r="V409" s="23"/>
      <c r="W409" s="23"/>
      <c r="X409" s="23"/>
      <c r="AO409" s="34"/>
      <c r="AP409" s="22"/>
      <c r="AQ409" s="22"/>
      <c r="AR409" s="22"/>
      <c r="AS409" s="34"/>
      <c r="AT409" s="34"/>
      <c r="AV409" s="34"/>
      <c r="AX409" s="35"/>
      <c r="AY409" s="35"/>
      <c r="AZ409" s="35"/>
      <c r="BA409" s="22"/>
      <c r="BB409" s="22"/>
      <c r="BC409" s="23"/>
      <c r="BD409" s="22"/>
      <c r="BE409" s="22"/>
      <c r="BF409" s="22"/>
      <c r="BG409" s="22"/>
      <c r="BH409" s="22"/>
      <c r="BI409" s="22"/>
      <c r="BJ409" s="22"/>
      <c r="BK409" s="22"/>
      <c r="BL409" s="22"/>
      <c r="BM409" s="22"/>
    </row>
    <row r="410" spans="2:65">
      <c r="B410" s="20"/>
      <c r="D410" s="19"/>
      <c r="E410" s="22"/>
      <c r="F410" s="22"/>
      <c r="G410" s="22"/>
      <c r="H410" s="22"/>
      <c r="I410" s="23"/>
      <c r="J410" s="24"/>
      <c r="K410" s="23"/>
      <c r="L410" s="24"/>
      <c r="M410" s="23"/>
      <c r="N410" s="24"/>
      <c r="O410" s="23"/>
      <c r="P410" s="24"/>
      <c r="Q410" s="23"/>
      <c r="R410" s="23"/>
      <c r="S410" s="23"/>
      <c r="T410" s="23"/>
      <c r="U410" s="23"/>
      <c r="V410" s="23"/>
      <c r="W410" s="23"/>
      <c r="X410" s="23"/>
      <c r="AO410" s="34"/>
      <c r="AP410" s="22"/>
      <c r="AQ410" s="22"/>
      <c r="AR410" s="22"/>
      <c r="AS410" s="34"/>
      <c r="AT410" s="34"/>
      <c r="AV410" s="34"/>
      <c r="AX410" s="35"/>
      <c r="AY410" s="35"/>
      <c r="AZ410" s="35"/>
      <c r="BA410" s="22"/>
      <c r="BB410" s="22"/>
      <c r="BC410" s="23"/>
      <c r="BD410" s="22"/>
      <c r="BE410" s="22"/>
      <c r="BF410" s="22"/>
      <c r="BG410" s="22"/>
      <c r="BH410" s="22"/>
      <c r="BI410" s="22"/>
      <c r="BJ410" s="22"/>
      <c r="BK410" s="22"/>
      <c r="BL410" s="22"/>
      <c r="BM410" s="22"/>
    </row>
    <row r="411" spans="2:65">
      <c r="B411" s="20"/>
      <c r="D411" s="19"/>
      <c r="E411" s="22"/>
      <c r="F411" s="22"/>
      <c r="G411" s="22"/>
      <c r="H411" s="22"/>
      <c r="I411" s="23"/>
      <c r="J411" s="24"/>
      <c r="K411" s="23"/>
      <c r="L411" s="24"/>
      <c r="M411" s="23"/>
      <c r="N411" s="24"/>
      <c r="O411" s="23"/>
      <c r="P411" s="24"/>
      <c r="Q411" s="23"/>
      <c r="R411" s="23"/>
      <c r="S411" s="23"/>
      <c r="T411" s="23"/>
      <c r="U411" s="23"/>
      <c r="V411" s="23"/>
      <c r="W411" s="23"/>
      <c r="X411" s="23"/>
      <c r="AO411" s="34"/>
      <c r="AP411" s="22"/>
      <c r="AQ411" s="22"/>
      <c r="AR411" s="22"/>
      <c r="AS411" s="34"/>
      <c r="AT411" s="34"/>
      <c r="AV411" s="34"/>
      <c r="AX411" s="35"/>
      <c r="AY411" s="35"/>
      <c r="AZ411" s="35"/>
      <c r="BA411" s="22"/>
      <c r="BB411" s="22"/>
      <c r="BC411" s="23"/>
      <c r="BD411" s="22"/>
      <c r="BE411" s="22"/>
      <c r="BF411" s="22"/>
      <c r="BG411" s="22"/>
      <c r="BH411" s="22"/>
      <c r="BI411" s="22"/>
      <c r="BJ411" s="22"/>
      <c r="BK411" s="22"/>
      <c r="BL411" s="22"/>
      <c r="BM411" s="22"/>
    </row>
    <row r="412" spans="2:65">
      <c r="B412" s="20"/>
      <c r="D412" s="19"/>
      <c r="E412" s="22"/>
      <c r="F412" s="22"/>
      <c r="G412" s="22"/>
      <c r="H412" s="22"/>
      <c r="I412" s="23"/>
      <c r="J412" s="24"/>
      <c r="K412" s="23"/>
      <c r="L412" s="24"/>
      <c r="M412" s="23"/>
      <c r="N412" s="24"/>
      <c r="O412" s="23"/>
      <c r="P412" s="24"/>
      <c r="Q412" s="23"/>
      <c r="R412" s="23"/>
      <c r="S412" s="23"/>
      <c r="T412" s="23"/>
      <c r="U412" s="23"/>
      <c r="V412" s="23"/>
      <c r="W412" s="23"/>
      <c r="X412" s="23"/>
      <c r="AO412" s="34"/>
      <c r="AP412" s="22"/>
      <c r="AQ412" s="22"/>
      <c r="AR412" s="22"/>
      <c r="AS412" s="34"/>
      <c r="AT412" s="34"/>
      <c r="AV412" s="34"/>
      <c r="AX412" s="35"/>
      <c r="AY412" s="35"/>
      <c r="AZ412" s="35"/>
      <c r="BA412" s="22"/>
      <c r="BB412" s="22"/>
      <c r="BC412" s="23"/>
      <c r="BD412" s="22"/>
      <c r="BE412" s="22"/>
      <c r="BF412" s="22"/>
      <c r="BG412" s="22"/>
      <c r="BH412" s="22"/>
      <c r="BI412" s="22"/>
      <c r="BJ412" s="22"/>
      <c r="BK412" s="22"/>
      <c r="BL412" s="22"/>
      <c r="BM412" s="22"/>
    </row>
    <row r="413" spans="2:65">
      <c r="B413" s="20"/>
      <c r="D413" s="19"/>
      <c r="E413" s="22"/>
      <c r="F413" s="22"/>
      <c r="G413" s="22"/>
      <c r="H413" s="22"/>
      <c r="I413" s="23"/>
      <c r="J413" s="24"/>
      <c r="K413" s="23"/>
      <c r="L413" s="24"/>
      <c r="M413" s="23"/>
      <c r="N413" s="24"/>
      <c r="O413" s="23"/>
      <c r="P413" s="24"/>
      <c r="Q413" s="23"/>
      <c r="R413" s="23"/>
      <c r="S413" s="23"/>
      <c r="T413" s="23"/>
      <c r="U413" s="23"/>
      <c r="V413" s="23"/>
      <c r="W413" s="23"/>
      <c r="X413" s="23"/>
      <c r="AO413" s="34"/>
      <c r="AP413" s="22"/>
      <c r="AQ413" s="22"/>
      <c r="AR413" s="22"/>
      <c r="AS413" s="34"/>
      <c r="AT413" s="34"/>
      <c r="AV413" s="34"/>
      <c r="AX413" s="35"/>
      <c r="AY413" s="35"/>
      <c r="AZ413" s="35"/>
      <c r="BA413" s="22"/>
      <c r="BB413" s="22"/>
      <c r="BC413" s="23"/>
      <c r="BD413" s="22"/>
      <c r="BE413" s="22"/>
      <c r="BF413" s="22"/>
      <c r="BG413" s="22"/>
      <c r="BH413" s="22"/>
      <c r="BI413" s="22"/>
      <c r="BJ413" s="22"/>
      <c r="BK413" s="22"/>
      <c r="BL413" s="22"/>
      <c r="BM413" s="22"/>
    </row>
    <row r="414" spans="2:65">
      <c r="B414" s="20"/>
      <c r="D414" s="19"/>
      <c r="E414" s="22"/>
      <c r="F414" s="22"/>
      <c r="G414" s="22"/>
      <c r="H414" s="22"/>
      <c r="I414" s="23"/>
      <c r="J414" s="24"/>
      <c r="K414" s="23"/>
      <c r="L414" s="24"/>
      <c r="M414" s="23"/>
      <c r="N414" s="24"/>
      <c r="O414" s="23"/>
      <c r="P414" s="24"/>
      <c r="Q414" s="23"/>
      <c r="R414" s="23"/>
      <c r="S414" s="23"/>
      <c r="T414" s="23"/>
      <c r="U414" s="23"/>
      <c r="V414" s="23"/>
      <c r="W414" s="23"/>
      <c r="X414" s="23"/>
      <c r="AO414" s="34"/>
      <c r="AP414" s="22"/>
      <c r="AQ414" s="22"/>
      <c r="AR414" s="22"/>
      <c r="AS414" s="34"/>
      <c r="AT414" s="34"/>
      <c r="AV414" s="34"/>
      <c r="AX414" s="35"/>
      <c r="AY414" s="35"/>
      <c r="AZ414" s="35"/>
      <c r="BA414" s="22"/>
      <c r="BB414" s="22"/>
      <c r="BC414" s="23"/>
      <c r="BD414" s="22"/>
      <c r="BE414" s="22"/>
      <c r="BF414" s="22"/>
      <c r="BG414" s="22"/>
      <c r="BH414" s="22"/>
      <c r="BI414" s="22"/>
      <c r="BJ414" s="22"/>
      <c r="BK414" s="22"/>
      <c r="BL414" s="22"/>
      <c r="BM414" s="22"/>
    </row>
    <row r="415" spans="2:65">
      <c r="B415" s="20"/>
      <c r="D415" s="19"/>
      <c r="E415" s="22"/>
      <c r="F415" s="22"/>
      <c r="G415" s="22"/>
      <c r="H415" s="22"/>
      <c r="I415" s="23"/>
      <c r="J415" s="24"/>
      <c r="K415" s="23"/>
      <c r="L415" s="24"/>
      <c r="M415" s="23"/>
      <c r="N415" s="24"/>
      <c r="O415" s="23"/>
      <c r="P415" s="24"/>
      <c r="Q415" s="23"/>
      <c r="R415" s="23"/>
      <c r="S415" s="23"/>
      <c r="T415" s="23"/>
      <c r="U415" s="23"/>
      <c r="V415" s="23"/>
      <c r="W415" s="23"/>
      <c r="X415" s="23"/>
      <c r="AO415" s="34"/>
      <c r="AP415" s="22"/>
      <c r="AQ415" s="22"/>
      <c r="AR415" s="22"/>
      <c r="AS415" s="34"/>
      <c r="AT415" s="34"/>
      <c r="AV415" s="34"/>
      <c r="AX415" s="35"/>
      <c r="AY415" s="35"/>
      <c r="AZ415" s="35"/>
      <c r="BA415" s="22"/>
      <c r="BB415" s="22"/>
      <c r="BC415" s="23"/>
      <c r="BD415" s="22"/>
      <c r="BE415" s="22"/>
      <c r="BF415" s="22"/>
      <c r="BG415" s="22"/>
      <c r="BH415" s="22"/>
      <c r="BI415" s="22"/>
      <c r="BJ415" s="22"/>
      <c r="BK415" s="22"/>
      <c r="BL415" s="22"/>
      <c r="BM415" s="22"/>
    </row>
    <row r="416" spans="2:65">
      <c r="B416" s="20"/>
      <c r="D416" s="19"/>
      <c r="E416" s="22"/>
      <c r="F416" s="22"/>
      <c r="G416" s="22"/>
      <c r="H416" s="22"/>
      <c r="I416" s="23"/>
      <c r="J416" s="24"/>
      <c r="K416" s="23"/>
      <c r="L416" s="24"/>
      <c r="M416" s="23"/>
      <c r="N416" s="24"/>
      <c r="O416" s="23"/>
      <c r="P416" s="24"/>
      <c r="Q416" s="23"/>
      <c r="R416" s="23"/>
      <c r="S416" s="23"/>
      <c r="T416" s="23"/>
      <c r="U416" s="23"/>
      <c r="V416" s="23"/>
      <c r="W416" s="23"/>
      <c r="X416" s="23"/>
      <c r="AO416" s="34"/>
      <c r="AP416" s="22"/>
      <c r="AQ416" s="22"/>
      <c r="AR416" s="22"/>
      <c r="AS416" s="34"/>
      <c r="AT416" s="34"/>
      <c r="AV416" s="34"/>
      <c r="AX416" s="35"/>
      <c r="AY416" s="35"/>
      <c r="AZ416" s="35"/>
      <c r="BA416" s="22"/>
      <c r="BB416" s="22"/>
      <c r="BC416" s="23"/>
      <c r="BD416" s="22"/>
      <c r="BE416" s="22"/>
      <c r="BF416" s="22"/>
      <c r="BG416" s="22"/>
      <c r="BH416" s="22"/>
      <c r="BI416" s="22"/>
      <c r="BJ416" s="22"/>
      <c r="BK416" s="22"/>
      <c r="BL416" s="22"/>
      <c r="BM416" s="22"/>
    </row>
    <row r="417" spans="2:65">
      <c r="B417" s="20"/>
      <c r="D417" s="19"/>
      <c r="E417" s="22"/>
      <c r="F417" s="22"/>
      <c r="G417" s="22"/>
      <c r="H417" s="22"/>
      <c r="I417" s="23"/>
      <c r="J417" s="24"/>
      <c r="K417" s="23"/>
      <c r="L417" s="24"/>
      <c r="M417" s="23"/>
      <c r="N417" s="24"/>
      <c r="O417" s="23"/>
      <c r="P417" s="24"/>
      <c r="Q417" s="23"/>
      <c r="R417" s="23"/>
      <c r="S417" s="23"/>
      <c r="T417" s="23"/>
      <c r="U417" s="23"/>
      <c r="V417" s="23"/>
      <c r="W417" s="23"/>
      <c r="X417" s="23"/>
      <c r="AO417" s="34"/>
      <c r="AP417" s="22"/>
      <c r="AQ417" s="22"/>
      <c r="AR417" s="22"/>
      <c r="AS417" s="34"/>
      <c r="AT417" s="34"/>
      <c r="AV417" s="34"/>
      <c r="AX417" s="35"/>
      <c r="AY417" s="35"/>
      <c r="AZ417" s="35"/>
      <c r="BA417" s="22"/>
      <c r="BB417" s="22"/>
      <c r="BC417" s="23"/>
      <c r="BD417" s="22"/>
      <c r="BE417" s="22"/>
      <c r="BF417" s="22"/>
      <c r="BG417" s="22"/>
      <c r="BH417" s="22"/>
      <c r="BI417" s="22"/>
      <c r="BJ417" s="22"/>
      <c r="BK417" s="22"/>
      <c r="BL417" s="22"/>
      <c r="BM417" s="22"/>
    </row>
    <row r="418" spans="2:65">
      <c r="B418" s="20"/>
      <c r="D418" s="19"/>
      <c r="E418" s="22"/>
      <c r="F418" s="22"/>
      <c r="G418" s="22"/>
      <c r="H418" s="22"/>
      <c r="I418" s="23"/>
      <c r="J418" s="24"/>
      <c r="K418" s="23"/>
      <c r="L418" s="24"/>
      <c r="M418" s="23"/>
      <c r="N418" s="24"/>
      <c r="O418" s="23"/>
      <c r="P418" s="24"/>
      <c r="Q418" s="23"/>
      <c r="R418" s="23"/>
      <c r="S418" s="23"/>
      <c r="T418" s="23"/>
      <c r="U418" s="23"/>
      <c r="V418" s="23"/>
      <c r="W418" s="23"/>
      <c r="X418" s="23"/>
      <c r="AO418" s="34"/>
      <c r="AP418" s="22"/>
      <c r="AQ418" s="22"/>
      <c r="AR418" s="22"/>
      <c r="AS418" s="34"/>
      <c r="AT418" s="34"/>
      <c r="AV418" s="34"/>
      <c r="AX418" s="35"/>
      <c r="AY418" s="35"/>
      <c r="AZ418" s="35"/>
      <c r="BA418" s="22"/>
      <c r="BB418" s="22"/>
      <c r="BC418" s="23"/>
      <c r="BD418" s="22"/>
      <c r="BE418" s="22"/>
      <c r="BF418" s="22"/>
      <c r="BG418" s="22"/>
      <c r="BH418" s="22"/>
      <c r="BI418" s="22"/>
      <c r="BJ418" s="22"/>
      <c r="BK418" s="22"/>
      <c r="BL418" s="22"/>
      <c r="BM418" s="22"/>
    </row>
    <row r="419" spans="2:65">
      <c r="B419" s="20"/>
      <c r="D419" s="19"/>
      <c r="E419" s="22"/>
      <c r="F419" s="22"/>
      <c r="G419" s="22"/>
      <c r="H419" s="22"/>
      <c r="I419" s="23"/>
      <c r="J419" s="24"/>
      <c r="K419" s="23"/>
      <c r="L419" s="24"/>
      <c r="M419" s="23"/>
      <c r="N419" s="24"/>
      <c r="O419" s="23"/>
      <c r="P419" s="24"/>
      <c r="Q419" s="23"/>
      <c r="R419" s="23"/>
      <c r="S419" s="23"/>
      <c r="T419" s="23"/>
      <c r="U419" s="23"/>
      <c r="V419" s="23"/>
      <c r="W419" s="23"/>
      <c r="X419" s="23"/>
      <c r="AO419" s="34"/>
      <c r="AP419" s="22"/>
      <c r="AQ419" s="22"/>
      <c r="AR419" s="22"/>
      <c r="AS419" s="34"/>
      <c r="AT419" s="34"/>
      <c r="AV419" s="34"/>
      <c r="AX419" s="35"/>
      <c r="AY419" s="35"/>
      <c r="AZ419" s="35"/>
      <c r="BA419" s="22"/>
      <c r="BB419" s="22"/>
      <c r="BC419" s="23"/>
      <c r="BD419" s="22"/>
      <c r="BE419" s="22"/>
      <c r="BF419" s="22"/>
      <c r="BG419" s="22"/>
      <c r="BH419" s="22"/>
      <c r="BI419" s="22"/>
      <c r="BJ419" s="22"/>
      <c r="BK419" s="22"/>
      <c r="BL419" s="22"/>
      <c r="BM419" s="22"/>
    </row>
    <row r="420" spans="2:65">
      <c r="B420" s="20"/>
      <c r="D420" s="19"/>
      <c r="E420" s="22"/>
      <c r="F420" s="22"/>
      <c r="G420" s="22"/>
      <c r="H420" s="22"/>
      <c r="I420" s="23"/>
      <c r="J420" s="24"/>
      <c r="K420" s="23"/>
      <c r="L420" s="24"/>
      <c r="M420" s="23"/>
      <c r="N420" s="24"/>
      <c r="O420" s="23"/>
      <c r="P420" s="24"/>
      <c r="Q420" s="23"/>
      <c r="R420" s="23"/>
      <c r="S420" s="23"/>
      <c r="T420" s="23"/>
      <c r="U420" s="23"/>
      <c r="V420" s="23"/>
      <c r="W420" s="23"/>
      <c r="X420" s="23"/>
      <c r="AO420" s="34"/>
      <c r="AP420" s="22"/>
      <c r="AQ420" s="22"/>
      <c r="AR420" s="22"/>
      <c r="AS420" s="34"/>
      <c r="AT420" s="34"/>
      <c r="AV420" s="34"/>
      <c r="AX420" s="35"/>
      <c r="AY420" s="35"/>
      <c r="AZ420" s="35"/>
      <c r="BA420" s="22"/>
      <c r="BB420" s="22"/>
      <c r="BC420" s="23"/>
      <c r="BD420" s="22"/>
      <c r="BE420" s="22"/>
      <c r="BF420" s="22"/>
      <c r="BG420" s="22"/>
      <c r="BH420" s="22"/>
      <c r="BI420" s="22"/>
      <c r="BJ420" s="22"/>
      <c r="BK420" s="22"/>
      <c r="BL420" s="22"/>
      <c r="BM420" s="22"/>
    </row>
    <row r="421" spans="2:65">
      <c r="B421" s="20"/>
      <c r="D421" s="19"/>
      <c r="E421" s="22"/>
      <c r="F421" s="22"/>
      <c r="G421" s="22"/>
      <c r="H421" s="22"/>
      <c r="I421" s="23"/>
      <c r="J421" s="24"/>
      <c r="K421" s="23"/>
      <c r="L421" s="24"/>
      <c r="M421" s="23"/>
      <c r="N421" s="24"/>
      <c r="O421" s="23"/>
      <c r="P421" s="24"/>
      <c r="Q421" s="23"/>
      <c r="R421" s="23"/>
      <c r="S421" s="23"/>
      <c r="T421" s="23"/>
      <c r="U421" s="23"/>
      <c r="V421" s="23"/>
      <c r="W421" s="23"/>
      <c r="X421" s="23"/>
      <c r="AO421" s="34"/>
      <c r="AP421" s="22"/>
      <c r="AQ421" s="22"/>
      <c r="AR421" s="22"/>
      <c r="AS421" s="34"/>
      <c r="AT421" s="34"/>
      <c r="AV421" s="34"/>
      <c r="AX421" s="35"/>
      <c r="AY421" s="35"/>
      <c r="AZ421" s="35"/>
      <c r="BA421" s="22"/>
      <c r="BB421" s="22"/>
      <c r="BC421" s="23"/>
      <c r="BD421" s="22"/>
      <c r="BE421" s="22"/>
      <c r="BF421" s="22"/>
      <c r="BG421" s="22"/>
      <c r="BH421" s="22"/>
      <c r="BI421" s="22"/>
      <c r="BJ421" s="22"/>
      <c r="BK421" s="22"/>
      <c r="BL421" s="22"/>
      <c r="BM421" s="22"/>
    </row>
    <row r="422" spans="2:65">
      <c r="B422" s="20"/>
      <c r="D422" s="19"/>
      <c r="E422" s="22"/>
      <c r="F422" s="22"/>
      <c r="G422" s="22"/>
      <c r="H422" s="22"/>
      <c r="I422" s="23"/>
      <c r="J422" s="24"/>
      <c r="K422" s="23"/>
      <c r="L422" s="24"/>
      <c r="M422" s="23"/>
      <c r="N422" s="24"/>
      <c r="O422" s="23"/>
      <c r="P422" s="24"/>
      <c r="Q422" s="23"/>
      <c r="R422" s="23"/>
      <c r="S422" s="23"/>
      <c r="T422" s="23"/>
      <c r="U422" s="23"/>
      <c r="V422" s="23"/>
      <c r="W422" s="23"/>
      <c r="X422" s="23"/>
      <c r="AO422" s="34"/>
      <c r="AP422" s="22"/>
      <c r="AQ422" s="22"/>
      <c r="AR422" s="22"/>
      <c r="AS422" s="34"/>
      <c r="AT422" s="34"/>
      <c r="AV422" s="34"/>
      <c r="AX422" s="35"/>
      <c r="AY422" s="35"/>
      <c r="AZ422" s="35"/>
      <c r="BA422" s="22"/>
      <c r="BB422" s="22"/>
      <c r="BC422" s="23"/>
      <c r="BD422" s="22"/>
      <c r="BE422" s="22"/>
      <c r="BF422" s="22"/>
      <c r="BG422" s="22"/>
      <c r="BH422" s="22"/>
      <c r="BI422" s="22"/>
      <c r="BJ422" s="22"/>
      <c r="BK422" s="22"/>
      <c r="BL422" s="22"/>
      <c r="BM422" s="22"/>
    </row>
    <row r="423" spans="2:65">
      <c r="B423" s="20"/>
      <c r="D423" s="19"/>
      <c r="E423" s="22"/>
      <c r="F423" s="22"/>
      <c r="G423" s="22"/>
      <c r="H423" s="22"/>
      <c r="I423" s="23"/>
      <c r="J423" s="24"/>
      <c r="K423" s="23"/>
      <c r="L423" s="24"/>
      <c r="M423" s="23"/>
      <c r="N423" s="24"/>
      <c r="O423" s="23"/>
      <c r="P423" s="24"/>
      <c r="Q423" s="23"/>
      <c r="R423" s="23"/>
      <c r="S423" s="23"/>
      <c r="T423" s="23"/>
      <c r="U423" s="23"/>
      <c r="V423" s="23"/>
      <c r="W423" s="23"/>
      <c r="X423" s="23"/>
      <c r="AO423" s="34"/>
      <c r="AP423" s="22"/>
      <c r="AQ423" s="22"/>
      <c r="AR423" s="22"/>
      <c r="AS423" s="34"/>
      <c r="AT423" s="34"/>
      <c r="AV423" s="34"/>
      <c r="AX423" s="35"/>
      <c r="AY423" s="35"/>
      <c r="AZ423" s="35"/>
      <c r="BA423" s="22"/>
      <c r="BB423" s="22"/>
      <c r="BC423" s="23"/>
      <c r="BD423" s="22"/>
      <c r="BE423" s="22"/>
      <c r="BF423" s="22"/>
      <c r="BG423" s="22"/>
      <c r="BH423" s="22"/>
      <c r="BI423" s="22"/>
      <c r="BJ423" s="22"/>
      <c r="BK423" s="22"/>
      <c r="BL423" s="22"/>
      <c r="BM423" s="22"/>
    </row>
    <row r="424" spans="2:65">
      <c r="B424" s="20"/>
      <c r="D424" s="19"/>
      <c r="E424" s="22"/>
      <c r="F424" s="22"/>
      <c r="G424" s="22"/>
      <c r="H424" s="22"/>
      <c r="I424" s="23"/>
      <c r="J424" s="24"/>
      <c r="K424" s="23"/>
      <c r="L424" s="24"/>
      <c r="M424" s="23"/>
      <c r="N424" s="24"/>
      <c r="O424" s="23"/>
      <c r="P424" s="24"/>
      <c r="Q424" s="23"/>
      <c r="R424" s="23"/>
      <c r="S424" s="23"/>
      <c r="T424" s="23"/>
      <c r="U424" s="23"/>
      <c r="V424" s="23"/>
      <c r="W424" s="23"/>
      <c r="X424" s="23"/>
      <c r="AO424" s="34"/>
      <c r="AP424" s="22"/>
      <c r="AQ424" s="22"/>
      <c r="AR424" s="22"/>
      <c r="AS424" s="34"/>
      <c r="AT424" s="34"/>
      <c r="AV424" s="34"/>
      <c r="AX424" s="35"/>
      <c r="AY424" s="35"/>
      <c r="AZ424" s="35"/>
      <c r="BA424" s="22"/>
      <c r="BB424" s="22"/>
      <c r="BC424" s="23"/>
      <c r="BD424" s="22"/>
      <c r="BE424" s="22"/>
      <c r="BF424" s="22"/>
      <c r="BG424" s="22"/>
      <c r="BH424" s="22"/>
      <c r="BI424" s="22"/>
      <c r="BJ424" s="22"/>
      <c r="BK424" s="22"/>
      <c r="BL424" s="22"/>
      <c r="BM424" s="22"/>
    </row>
    <row r="425" spans="2:65">
      <c r="B425" s="20"/>
      <c r="D425" s="19"/>
      <c r="E425" s="22"/>
      <c r="F425" s="22"/>
      <c r="G425" s="22"/>
      <c r="H425" s="22"/>
      <c r="I425" s="23"/>
      <c r="J425" s="24"/>
      <c r="K425" s="23"/>
      <c r="L425" s="24"/>
      <c r="M425" s="23"/>
      <c r="N425" s="24"/>
      <c r="O425" s="23"/>
      <c r="P425" s="24"/>
      <c r="Q425" s="23"/>
      <c r="R425" s="23"/>
      <c r="S425" s="23"/>
      <c r="T425" s="23"/>
      <c r="U425" s="23"/>
      <c r="V425" s="23"/>
      <c r="W425" s="23"/>
      <c r="X425" s="23"/>
      <c r="AO425" s="34"/>
      <c r="AP425" s="22"/>
      <c r="AQ425" s="22"/>
      <c r="AR425" s="22"/>
      <c r="AS425" s="34"/>
      <c r="AT425" s="34"/>
      <c r="AV425" s="34"/>
      <c r="AX425" s="35"/>
      <c r="AY425" s="35"/>
      <c r="AZ425" s="35"/>
      <c r="BA425" s="22"/>
      <c r="BB425" s="22"/>
      <c r="BC425" s="23"/>
      <c r="BD425" s="22"/>
      <c r="BE425" s="22"/>
      <c r="BF425" s="22"/>
      <c r="BG425" s="22"/>
      <c r="BH425" s="22"/>
      <c r="BI425" s="22"/>
      <c r="BJ425" s="22"/>
      <c r="BK425" s="22"/>
      <c r="BL425" s="22"/>
      <c r="BM425" s="22"/>
    </row>
    <row r="426" spans="2:65">
      <c r="B426" s="20"/>
      <c r="D426" s="19"/>
      <c r="E426" s="22"/>
      <c r="F426" s="22"/>
      <c r="G426" s="22"/>
      <c r="H426" s="22"/>
      <c r="I426" s="23"/>
      <c r="J426" s="24"/>
      <c r="K426" s="23"/>
      <c r="L426" s="24"/>
      <c r="M426" s="23"/>
      <c r="N426" s="24"/>
      <c r="O426" s="23"/>
      <c r="P426" s="24"/>
      <c r="Q426" s="23"/>
      <c r="R426" s="23"/>
      <c r="S426" s="23"/>
      <c r="T426" s="23"/>
      <c r="U426" s="23"/>
      <c r="V426" s="23"/>
      <c r="W426" s="23"/>
      <c r="X426" s="23"/>
      <c r="AO426" s="34"/>
      <c r="AP426" s="22"/>
      <c r="AQ426" s="22"/>
      <c r="AR426" s="22"/>
      <c r="AS426" s="34"/>
      <c r="AT426" s="34"/>
      <c r="AV426" s="34"/>
      <c r="AX426" s="35"/>
      <c r="AY426" s="35"/>
      <c r="AZ426" s="35"/>
      <c r="BA426" s="22"/>
      <c r="BB426" s="22"/>
      <c r="BC426" s="23"/>
      <c r="BD426" s="22"/>
      <c r="BE426" s="22"/>
      <c r="BF426" s="22"/>
      <c r="BG426" s="22"/>
      <c r="BH426" s="22"/>
      <c r="BI426" s="22"/>
      <c r="BJ426" s="22"/>
      <c r="BK426" s="22"/>
      <c r="BL426" s="22"/>
      <c r="BM426" s="22"/>
    </row>
    <row r="427" spans="2:65">
      <c r="B427" s="20"/>
      <c r="D427" s="19"/>
      <c r="E427" s="22"/>
      <c r="F427" s="22"/>
      <c r="G427" s="22"/>
      <c r="H427" s="22"/>
      <c r="I427" s="23"/>
      <c r="J427" s="24"/>
      <c r="K427" s="23"/>
      <c r="L427" s="24"/>
      <c r="M427" s="23"/>
      <c r="N427" s="24"/>
      <c r="O427" s="23"/>
      <c r="P427" s="24"/>
      <c r="Q427" s="23"/>
      <c r="R427" s="23"/>
      <c r="S427" s="23"/>
      <c r="T427" s="23"/>
      <c r="U427" s="23"/>
      <c r="V427" s="23"/>
      <c r="W427" s="23"/>
      <c r="X427" s="23"/>
      <c r="AO427" s="34"/>
      <c r="AP427" s="22"/>
      <c r="AQ427" s="22"/>
      <c r="AR427" s="22"/>
      <c r="AS427" s="34"/>
      <c r="AT427" s="34"/>
      <c r="AV427" s="34"/>
      <c r="AX427" s="35"/>
      <c r="AY427" s="35"/>
      <c r="AZ427" s="35"/>
      <c r="BA427" s="22"/>
      <c r="BB427" s="22"/>
      <c r="BC427" s="23"/>
      <c r="BD427" s="22"/>
      <c r="BE427" s="22"/>
      <c r="BF427" s="22"/>
      <c r="BG427" s="22"/>
      <c r="BH427" s="22"/>
      <c r="BI427" s="22"/>
      <c r="BJ427" s="22"/>
      <c r="BK427" s="22"/>
      <c r="BL427" s="22"/>
      <c r="BM427" s="22"/>
    </row>
    <row r="428" spans="2:65">
      <c r="B428" s="20"/>
      <c r="D428" s="19"/>
      <c r="E428" s="22"/>
      <c r="F428" s="22"/>
      <c r="G428" s="22"/>
      <c r="H428" s="22"/>
      <c r="I428" s="23"/>
      <c r="J428" s="24"/>
      <c r="K428" s="23"/>
      <c r="L428" s="24"/>
      <c r="M428" s="23"/>
      <c r="N428" s="24"/>
      <c r="O428" s="23"/>
      <c r="P428" s="24"/>
      <c r="Q428" s="23"/>
      <c r="R428" s="23"/>
      <c r="S428" s="23"/>
      <c r="T428" s="23"/>
      <c r="U428" s="23"/>
      <c r="V428" s="23"/>
      <c r="W428" s="23"/>
      <c r="X428" s="23"/>
      <c r="AO428" s="34"/>
      <c r="AP428" s="22"/>
      <c r="AQ428" s="22"/>
      <c r="AR428" s="22"/>
      <c r="AS428" s="34"/>
      <c r="AT428" s="34"/>
      <c r="AV428" s="34"/>
      <c r="AX428" s="35"/>
      <c r="AY428" s="35"/>
      <c r="AZ428" s="35"/>
      <c r="BA428" s="22"/>
      <c r="BB428" s="22"/>
      <c r="BC428" s="23"/>
      <c r="BD428" s="22"/>
      <c r="BE428" s="22"/>
      <c r="BF428" s="22"/>
      <c r="BG428" s="22"/>
      <c r="BH428" s="22"/>
      <c r="BI428" s="22"/>
      <c r="BJ428" s="22"/>
      <c r="BK428" s="22"/>
      <c r="BL428" s="22"/>
      <c r="BM428" s="22"/>
    </row>
    <row r="429" spans="2:65">
      <c r="B429" s="20"/>
      <c r="D429" s="19"/>
      <c r="E429" s="22"/>
      <c r="F429" s="22"/>
      <c r="G429" s="22"/>
      <c r="H429" s="22"/>
      <c r="I429" s="23"/>
      <c r="J429" s="24"/>
      <c r="K429" s="23"/>
      <c r="L429" s="24"/>
      <c r="M429" s="23"/>
      <c r="N429" s="24"/>
      <c r="O429" s="23"/>
      <c r="P429" s="24"/>
      <c r="Q429" s="23"/>
      <c r="R429" s="23"/>
      <c r="S429" s="23"/>
      <c r="T429" s="23"/>
      <c r="U429" s="23"/>
      <c r="V429" s="23"/>
      <c r="W429" s="23"/>
      <c r="X429" s="23"/>
      <c r="AO429" s="34"/>
      <c r="AP429" s="22"/>
      <c r="AQ429" s="22"/>
      <c r="AR429" s="22"/>
      <c r="AS429" s="34"/>
      <c r="AT429" s="34"/>
      <c r="AV429" s="34"/>
      <c r="AX429" s="35"/>
      <c r="AY429" s="35"/>
      <c r="AZ429" s="35"/>
      <c r="BA429" s="22"/>
      <c r="BB429" s="22"/>
      <c r="BC429" s="23"/>
      <c r="BD429" s="22"/>
      <c r="BE429" s="22"/>
      <c r="BF429" s="22"/>
      <c r="BG429" s="22"/>
      <c r="BH429" s="22"/>
      <c r="BI429" s="22"/>
      <c r="BJ429" s="22"/>
      <c r="BK429" s="22"/>
      <c r="BL429" s="22"/>
      <c r="BM429" s="22"/>
    </row>
    <row r="430" spans="2:65">
      <c r="B430" s="20"/>
      <c r="D430" s="19"/>
      <c r="E430" s="22"/>
      <c r="F430" s="22"/>
      <c r="G430" s="22"/>
      <c r="H430" s="22"/>
      <c r="I430" s="23"/>
      <c r="J430" s="24"/>
      <c r="K430" s="23"/>
      <c r="L430" s="24"/>
      <c r="M430" s="23"/>
      <c r="N430" s="24"/>
      <c r="O430" s="23"/>
      <c r="P430" s="24"/>
      <c r="Q430" s="23"/>
      <c r="R430" s="23"/>
      <c r="S430" s="23"/>
      <c r="T430" s="23"/>
      <c r="U430" s="23"/>
      <c r="V430" s="23"/>
      <c r="W430" s="23"/>
      <c r="X430" s="23"/>
      <c r="AO430" s="34"/>
      <c r="AP430" s="22"/>
      <c r="AQ430" s="22"/>
      <c r="AR430" s="22"/>
      <c r="AS430" s="34"/>
      <c r="AT430" s="34"/>
      <c r="AV430" s="34"/>
      <c r="AX430" s="35"/>
      <c r="AY430" s="35"/>
      <c r="AZ430" s="35"/>
      <c r="BA430" s="22"/>
      <c r="BB430" s="22"/>
      <c r="BC430" s="23"/>
      <c r="BD430" s="22"/>
      <c r="BE430" s="22"/>
      <c r="BF430" s="22"/>
      <c r="BG430" s="22"/>
      <c r="BH430" s="22"/>
      <c r="BI430" s="22"/>
      <c r="BJ430" s="22"/>
      <c r="BK430" s="22"/>
      <c r="BL430" s="22"/>
      <c r="BM430" s="22"/>
    </row>
    <row r="431" spans="2:65">
      <c r="B431" s="20"/>
      <c r="D431" s="19"/>
      <c r="E431" s="22"/>
      <c r="F431" s="22"/>
      <c r="G431" s="22"/>
      <c r="H431" s="22"/>
      <c r="I431" s="23"/>
      <c r="J431" s="24"/>
      <c r="K431" s="23"/>
      <c r="L431" s="24"/>
      <c r="M431" s="23"/>
      <c r="N431" s="24"/>
      <c r="O431" s="23"/>
      <c r="P431" s="24"/>
      <c r="Q431" s="23"/>
      <c r="R431" s="23"/>
      <c r="S431" s="23"/>
      <c r="T431" s="23"/>
      <c r="U431" s="23"/>
      <c r="V431" s="23"/>
      <c r="W431" s="23"/>
      <c r="X431" s="23"/>
      <c r="AO431" s="34"/>
      <c r="AP431" s="22"/>
      <c r="AQ431" s="22"/>
      <c r="AR431" s="22"/>
      <c r="AS431" s="34"/>
      <c r="AT431" s="34"/>
      <c r="AV431" s="34"/>
      <c r="AX431" s="35"/>
      <c r="AY431" s="35"/>
      <c r="AZ431" s="35"/>
      <c r="BA431" s="22"/>
      <c r="BB431" s="22"/>
      <c r="BC431" s="23"/>
      <c r="BD431" s="22"/>
      <c r="BE431" s="22"/>
      <c r="BF431" s="22"/>
      <c r="BG431" s="22"/>
      <c r="BH431" s="22"/>
      <c r="BI431" s="22"/>
      <c r="BJ431" s="22"/>
      <c r="BK431" s="22"/>
      <c r="BL431" s="22"/>
      <c r="BM431" s="22"/>
    </row>
    <row r="432" spans="2:65">
      <c r="B432" s="20"/>
      <c r="D432" s="19"/>
      <c r="E432" s="22"/>
      <c r="F432" s="22"/>
      <c r="G432" s="22"/>
      <c r="H432" s="22"/>
      <c r="I432" s="23"/>
      <c r="J432" s="24"/>
      <c r="K432" s="23"/>
      <c r="L432" s="24"/>
      <c r="M432" s="23"/>
      <c r="N432" s="24"/>
      <c r="O432" s="23"/>
      <c r="P432" s="24"/>
      <c r="Q432" s="23"/>
      <c r="R432" s="23"/>
      <c r="S432" s="23"/>
      <c r="T432" s="23"/>
      <c r="U432" s="23"/>
      <c r="V432" s="23"/>
      <c r="W432" s="23"/>
      <c r="X432" s="23"/>
      <c r="AO432" s="34"/>
      <c r="AP432" s="22"/>
      <c r="AQ432" s="22"/>
      <c r="AR432" s="22"/>
      <c r="AS432" s="34"/>
      <c r="AT432" s="34"/>
      <c r="AV432" s="34"/>
      <c r="AX432" s="35"/>
      <c r="AY432" s="35"/>
      <c r="AZ432" s="35"/>
      <c r="BA432" s="22"/>
      <c r="BB432" s="22"/>
      <c r="BC432" s="23"/>
      <c r="BD432" s="22"/>
      <c r="BE432" s="22"/>
      <c r="BF432" s="22"/>
      <c r="BG432" s="22"/>
      <c r="BH432" s="22"/>
      <c r="BI432" s="22"/>
      <c r="BJ432" s="22"/>
      <c r="BK432" s="22"/>
      <c r="BL432" s="22"/>
      <c r="BM432" s="22"/>
    </row>
    <row r="433" spans="2:65">
      <c r="B433" s="20"/>
      <c r="D433" s="19"/>
      <c r="E433" s="22"/>
      <c r="F433" s="22"/>
      <c r="G433" s="22"/>
      <c r="H433" s="22"/>
      <c r="I433" s="23"/>
      <c r="J433" s="24"/>
      <c r="K433" s="23"/>
      <c r="L433" s="24"/>
      <c r="M433" s="23"/>
      <c r="N433" s="24"/>
      <c r="O433" s="23"/>
      <c r="P433" s="24"/>
      <c r="Q433" s="23"/>
      <c r="R433" s="23"/>
      <c r="S433" s="23"/>
      <c r="T433" s="23"/>
      <c r="U433" s="23"/>
      <c r="V433" s="23"/>
      <c r="W433" s="23"/>
      <c r="X433" s="23"/>
      <c r="AO433" s="34"/>
      <c r="AP433" s="22"/>
      <c r="AQ433" s="22"/>
      <c r="AR433" s="22"/>
      <c r="AS433" s="34"/>
      <c r="AT433" s="34"/>
      <c r="AV433" s="34"/>
      <c r="AX433" s="35"/>
      <c r="AY433" s="35"/>
      <c r="AZ433" s="35"/>
      <c r="BA433" s="22"/>
      <c r="BB433" s="22"/>
      <c r="BC433" s="23"/>
      <c r="BD433" s="22"/>
      <c r="BE433" s="22"/>
      <c r="BF433" s="22"/>
      <c r="BG433" s="22"/>
      <c r="BH433" s="22"/>
      <c r="BI433" s="22"/>
      <c r="BJ433" s="22"/>
      <c r="BK433" s="22"/>
      <c r="BL433" s="22"/>
      <c r="BM433" s="22"/>
    </row>
    <row r="434" spans="2:65">
      <c r="B434" s="20"/>
      <c r="D434" s="19"/>
      <c r="E434" s="22"/>
      <c r="F434" s="22"/>
      <c r="G434" s="22"/>
      <c r="H434" s="22"/>
      <c r="I434" s="23"/>
      <c r="J434" s="24"/>
      <c r="K434" s="23"/>
      <c r="L434" s="24"/>
      <c r="M434" s="23"/>
      <c r="N434" s="24"/>
      <c r="O434" s="23"/>
      <c r="P434" s="24"/>
      <c r="Q434" s="23"/>
      <c r="R434" s="23"/>
      <c r="S434" s="23"/>
      <c r="T434" s="23"/>
      <c r="U434" s="23"/>
      <c r="V434" s="23"/>
      <c r="W434" s="23"/>
      <c r="X434" s="23"/>
      <c r="AO434" s="34"/>
      <c r="AP434" s="22"/>
      <c r="AQ434" s="22"/>
      <c r="AR434" s="22"/>
      <c r="AS434" s="34"/>
      <c r="AT434" s="34"/>
      <c r="AV434" s="34"/>
      <c r="AX434" s="35"/>
      <c r="AY434" s="35"/>
      <c r="AZ434" s="35"/>
      <c r="BA434" s="22"/>
      <c r="BB434" s="22"/>
      <c r="BC434" s="23"/>
      <c r="BD434" s="22"/>
      <c r="BE434" s="22"/>
      <c r="BF434" s="22"/>
      <c r="BG434" s="22"/>
      <c r="BH434" s="22"/>
      <c r="BI434" s="22"/>
      <c r="BJ434" s="22"/>
      <c r="BK434" s="22"/>
      <c r="BL434" s="22"/>
      <c r="BM434" s="22"/>
    </row>
    <row r="435" spans="2:65">
      <c r="B435" s="20"/>
      <c r="D435" s="19"/>
      <c r="E435" s="22"/>
      <c r="F435" s="22"/>
      <c r="G435" s="22"/>
      <c r="H435" s="22"/>
      <c r="I435" s="23"/>
      <c r="J435" s="24"/>
      <c r="K435" s="23"/>
      <c r="L435" s="24"/>
      <c r="M435" s="23"/>
      <c r="N435" s="24"/>
      <c r="O435" s="23"/>
      <c r="P435" s="24"/>
      <c r="Q435" s="23"/>
      <c r="R435" s="23"/>
      <c r="S435" s="23"/>
      <c r="T435" s="23"/>
      <c r="U435" s="23"/>
      <c r="V435" s="23"/>
      <c r="W435" s="23"/>
      <c r="X435" s="23"/>
      <c r="AO435" s="34"/>
      <c r="AP435" s="22"/>
      <c r="AQ435" s="22"/>
      <c r="AR435" s="22"/>
      <c r="AS435" s="34"/>
      <c r="AT435" s="34"/>
      <c r="AV435" s="34"/>
      <c r="AX435" s="35"/>
      <c r="AY435" s="35"/>
      <c r="AZ435" s="35"/>
      <c r="BA435" s="22"/>
      <c r="BB435" s="22"/>
      <c r="BC435" s="23"/>
      <c r="BD435" s="22"/>
      <c r="BE435" s="22"/>
      <c r="BF435" s="22"/>
      <c r="BG435" s="22"/>
      <c r="BH435" s="22"/>
      <c r="BI435" s="22"/>
      <c r="BJ435" s="22"/>
      <c r="BK435" s="22"/>
      <c r="BL435" s="22"/>
      <c r="BM435" s="22"/>
    </row>
    <row r="436" spans="2:65">
      <c r="B436" s="20"/>
      <c r="D436" s="19"/>
      <c r="E436" s="22"/>
      <c r="F436" s="22"/>
      <c r="G436" s="22"/>
      <c r="H436" s="22"/>
      <c r="I436" s="23"/>
      <c r="J436" s="24"/>
      <c r="K436" s="23"/>
      <c r="L436" s="24"/>
      <c r="M436" s="23"/>
      <c r="N436" s="24"/>
      <c r="O436" s="23"/>
      <c r="P436" s="24"/>
      <c r="Q436" s="23"/>
      <c r="R436" s="23"/>
      <c r="S436" s="23"/>
      <c r="T436" s="23"/>
      <c r="U436" s="23"/>
      <c r="V436" s="23"/>
      <c r="W436" s="23"/>
      <c r="X436" s="23"/>
      <c r="AO436" s="34"/>
      <c r="AP436" s="22"/>
      <c r="AQ436" s="22"/>
      <c r="AR436" s="22"/>
      <c r="AS436" s="34"/>
      <c r="AT436" s="34"/>
      <c r="AV436" s="34"/>
      <c r="AX436" s="35"/>
      <c r="AY436" s="35"/>
      <c r="AZ436" s="35"/>
      <c r="BA436" s="22"/>
      <c r="BB436" s="22"/>
      <c r="BC436" s="23"/>
      <c r="BD436" s="22"/>
      <c r="BE436" s="22"/>
      <c r="BF436" s="22"/>
      <c r="BG436" s="22"/>
      <c r="BH436" s="22"/>
      <c r="BI436" s="22"/>
      <c r="BJ436" s="22"/>
      <c r="BK436" s="22"/>
      <c r="BL436" s="22"/>
      <c r="BM436" s="22"/>
    </row>
    <row r="437" spans="2:65">
      <c r="B437" s="20"/>
      <c r="D437" s="19"/>
      <c r="E437" s="22"/>
      <c r="F437" s="22"/>
      <c r="G437" s="22"/>
      <c r="H437" s="22"/>
      <c r="I437" s="23"/>
      <c r="J437" s="24"/>
      <c r="K437" s="23"/>
      <c r="L437" s="24"/>
      <c r="M437" s="23"/>
      <c r="N437" s="24"/>
      <c r="O437" s="23"/>
      <c r="P437" s="24"/>
      <c r="Q437" s="23"/>
      <c r="R437" s="23"/>
      <c r="S437" s="23"/>
      <c r="T437" s="23"/>
      <c r="U437" s="23"/>
      <c r="V437" s="23"/>
      <c r="W437" s="23"/>
      <c r="X437" s="23"/>
      <c r="AO437" s="34"/>
      <c r="AP437" s="22"/>
      <c r="AQ437" s="22"/>
      <c r="AR437" s="22"/>
      <c r="AS437" s="34"/>
      <c r="AT437" s="34"/>
      <c r="AV437" s="34"/>
      <c r="AX437" s="35"/>
      <c r="AY437" s="35"/>
      <c r="AZ437" s="35"/>
      <c r="BA437" s="22"/>
      <c r="BB437" s="22"/>
      <c r="BC437" s="23"/>
      <c r="BD437" s="22"/>
      <c r="BE437" s="22"/>
      <c r="BF437" s="22"/>
      <c r="BG437" s="22"/>
      <c r="BH437" s="22"/>
      <c r="BI437" s="22"/>
      <c r="BJ437" s="22"/>
      <c r="BK437" s="22"/>
      <c r="BL437" s="22"/>
      <c r="BM437" s="22"/>
    </row>
    <row r="438" spans="2:65">
      <c r="B438" s="20"/>
      <c r="D438" s="19"/>
      <c r="E438" s="22"/>
      <c r="F438" s="22"/>
      <c r="G438" s="22"/>
      <c r="H438" s="22"/>
      <c r="I438" s="23"/>
      <c r="J438" s="24"/>
      <c r="K438" s="23"/>
      <c r="L438" s="24"/>
      <c r="M438" s="23"/>
      <c r="N438" s="24"/>
      <c r="O438" s="23"/>
      <c r="P438" s="24"/>
      <c r="Q438" s="23"/>
      <c r="R438" s="23"/>
      <c r="S438" s="23"/>
      <c r="T438" s="23"/>
      <c r="U438" s="23"/>
      <c r="V438" s="23"/>
      <c r="W438" s="23"/>
      <c r="X438" s="23"/>
      <c r="AO438" s="34"/>
      <c r="AP438" s="22"/>
      <c r="AQ438" s="22"/>
      <c r="AR438" s="22"/>
      <c r="AS438" s="34"/>
      <c r="AT438" s="34"/>
      <c r="AV438" s="34"/>
      <c r="AX438" s="35"/>
      <c r="AY438" s="35"/>
      <c r="AZ438" s="35"/>
      <c r="BA438" s="22"/>
      <c r="BB438" s="22"/>
      <c r="BC438" s="23"/>
      <c r="BD438" s="22"/>
      <c r="BE438" s="22"/>
      <c r="BF438" s="22"/>
      <c r="BG438" s="22"/>
      <c r="BH438" s="22"/>
      <c r="BI438" s="22"/>
      <c r="BJ438" s="22"/>
      <c r="BK438" s="22"/>
      <c r="BL438" s="22"/>
      <c r="BM438" s="22"/>
    </row>
    <row r="439" spans="2:65">
      <c r="B439" s="20"/>
      <c r="D439" s="19"/>
      <c r="E439" s="22"/>
      <c r="F439" s="22"/>
      <c r="G439" s="22"/>
      <c r="H439" s="22"/>
      <c r="I439" s="23"/>
      <c r="J439" s="24"/>
      <c r="K439" s="23"/>
      <c r="L439" s="24"/>
      <c r="M439" s="23"/>
      <c r="N439" s="24"/>
      <c r="O439" s="23"/>
      <c r="P439" s="24"/>
      <c r="Q439" s="23"/>
      <c r="R439" s="23"/>
      <c r="S439" s="23"/>
      <c r="T439" s="23"/>
      <c r="U439" s="23"/>
      <c r="V439" s="23"/>
      <c r="W439" s="23"/>
      <c r="X439" s="23"/>
      <c r="AO439" s="34"/>
      <c r="AP439" s="22"/>
      <c r="AQ439" s="22"/>
      <c r="AR439" s="22"/>
      <c r="AS439" s="34"/>
      <c r="AT439" s="34"/>
      <c r="AV439" s="34"/>
      <c r="AX439" s="35"/>
      <c r="AY439" s="35"/>
      <c r="AZ439" s="35"/>
      <c r="BA439" s="22"/>
      <c r="BB439" s="22"/>
      <c r="BC439" s="23"/>
      <c r="BD439" s="22"/>
      <c r="BE439" s="22"/>
      <c r="BF439" s="22"/>
      <c r="BG439" s="22"/>
      <c r="BH439" s="22"/>
      <c r="BI439" s="22"/>
      <c r="BJ439" s="22"/>
      <c r="BK439" s="22"/>
      <c r="BL439" s="22"/>
      <c r="BM439" s="22"/>
    </row>
    <row r="440" spans="2:65">
      <c r="B440" s="20"/>
      <c r="D440" s="19"/>
      <c r="E440" s="22"/>
      <c r="F440" s="22"/>
      <c r="G440" s="22"/>
      <c r="H440" s="22"/>
      <c r="I440" s="23"/>
      <c r="J440" s="24"/>
      <c r="K440" s="23"/>
      <c r="L440" s="24"/>
      <c r="M440" s="23"/>
      <c r="N440" s="24"/>
      <c r="O440" s="23"/>
      <c r="P440" s="24"/>
      <c r="Q440" s="23"/>
      <c r="R440" s="23"/>
      <c r="S440" s="23"/>
      <c r="T440" s="23"/>
      <c r="U440" s="23"/>
      <c r="V440" s="23"/>
      <c r="W440" s="23"/>
      <c r="X440" s="23"/>
      <c r="AO440" s="34"/>
      <c r="AP440" s="22"/>
      <c r="AQ440" s="22"/>
      <c r="AR440" s="22"/>
      <c r="AS440" s="34"/>
      <c r="AT440" s="34"/>
      <c r="AV440" s="34"/>
      <c r="AX440" s="35"/>
      <c r="AY440" s="35"/>
      <c r="AZ440" s="35"/>
      <c r="BA440" s="22"/>
      <c r="BB440" s="22"/>
      <c r="BC440" s="23"/>
      <c r="BD440" s="22"/>
      <c r="BE440" s="22"/>
      <c r="BF440" s="22"/>
      <c r="BG440" s="22"/>
      <c r="BH440" s="22"/>
      <c r="BI440" s="22"/>
      <c r="BJ440" s="22"/>
      <c r="BK440" s="22"/>
      <c r="BL440" s="22"/>
      <c r="BM440" s="22"/>
    </row>
    <row r="441" spans="2:65">
      <c r="B441" s="20"/>
      <c r="D441" s="19"/>
      <c r="E441" s="22"/>
      <c r="F441" s="22"/>
      <c r="G441" s="22"/>
      <c r="H441" s="22"/>
      <c r="I441" s="23"/>
      <c r="J441" s="24"/>
      <c r="K441" s="23"/>
      <c r="L441" s="24"/>
      <c r="M441" s="23"/>
      <c r="N441" s="24"/>
      <c r="O441" s="23"/>
      <c r="P441" s="24"/>
      <c r="Q441" s="23"/>
      <c r="R441" s="23"/>
      <c r="S441" s="23"/>
      <c r="T441" s="23"/>
      <c r="U441" s="23"/>
      <c r="V441" s="23"/>
      <c r="W441" s="23"/>
      <c r="X441" s="23"/>
      <c r="AO441" s="34"/>
      <c r="AP441" s="22"/>
      <c r="AQ441" s="22"/>
      <c r="AR441" s="22"/>
      <c r="AS441" s="34"/>
      <c r="AT441" s="34"/>
      <c r="AV441" s="34"/>
      <c r="AX441" s="35"/>
      <c r="AY441" s="35"/>
      <c r="AZ441" s="35"/>
      <c r="BA441" s="22"/>
      <c r="BB441" s="22"/>
      <c r="BC441" s="23"/>
      <c r="BD441" s="22"/>
      <c r="BE441" s="22"/>
      <c r="BF441" s="22"/>
      <c r="BG441" s="22"/>
      <c r="BH441" s="22"/>
      <c r="BI441" s="22"/>
      <c r="BJ441" s="22"/>
      <c r="BK441" s="22"/>
      <c r="BL441" s="22"/>
      <c r="BM441" s="22"/>
    </row>
    <row r="442" spans="2:65">
      <c r="B442" s="20"/>
      <c r="D442" s="19"/>
      <c r="E442" s="22"/>
      <c r="F442" s="22"/>
      <c r="G442" s="22"/>
      <c r="H442" s="22"/>
      <c r="I442" s="23"/>
      <c r="J442" s="24"/>
      <c r="K442" s="23"/>
      <c r="L442" s="24"/>
      <c r="M442" s="23"/>
      <c r="N442" s="24"/>
      <c r="O442" s="23"/>
      <c r="P442" s="24"/>
      <c r="Q442" s="23"/>
      <c r="R442" s="23"/>
      <c r="S442" s="23"/>
      <c r="T442" s="23"/>
      <c r="U442" s="23"/>
      <c r="V442" s="23"/>
      <c r="W442" s="23"/>
      <c r="X442" s="23"/>
      <c r="AO442" s="34"/>
      <c r="AP442" s="22"/>
      <c r="AQ442" s="22"/>
      <c r="AR442" s="22"/>
      <c r="AS442" s="34"/>
      <c r="AT442" s="34"/>
      <c r="AV442" s="34"/>
      <c r="AX442" s="35"/>
      <c r="AY442" s="35"/>
      <c r="AZ442" s="35"/>
      <c r="BA442" s="22"/>
      <c r="BB442" s="22"/>
      <c r="BC442" s="23"/>
      <c r="BD442" s="22"/>
      <c r="BE442" s="22"/>
      <c r="BF442" s="22"/>
      <c r="BG442" s="22"/>
      <c r="BH442" s="22"/>
      <c r="BI442" s="22"/>
      <c r="BJ442" s="22"/>
      <c r="BK442" s="22"/>
      <c r="BL442" s="22"/>
      <c r="BM442" s="22"/>
    </row>
    <row r="443" spans="2:65">
      <c r="B443" s="20"/>
      <c r="D443" s="19"/>
      <c r="E443" s="22"/>
      <c r="F443" s="22"/>
      <c r="G443" s="22"/>
      <c r="H443" s="22"/>
      <c r="I443" s="23"/>
      <c r="J443" s="24"/>
      <c r="K443" s="23"/>
      <c r="L443" s="24"/>
      <c r="M443" s="23"/>
      <c r="N443" s="24"/>
      <c r="O443" s="23"/>
      <c r="P443" s="24"/>
      <c r="Q443" s="23"/>
      <c r="R443" s="23"/>
      <c r="S443" s="23"/>
      <c r="T443" s="23"/>
      <c r="U443" s="23"/>
      <c r="V443" s="23"/>
      <c r="W443" s="23"/>
      <c r="X443" s="23"/>
      <c r="AO443" s="34"/>
      <c r="AP443" s="22"/>
      <c r="AQ443" s="22"/>
      <c r="AR443" s="22"/>
      <c r="AS443" s="34"/>
      <c r="AT443" s="34"/>
      <c r="AV443" s="34"/>
      <c r="AX443" s="35"/>
      <c r="AY443" s="35"/>
      <c r="AZ443" s="35"/>
      <c r="BA443" s="22"/>
      <c r="BB443" s="22"/>
      <c r="BC443" s="23"/>
      <c r="BD443" s="22"/>
      <c r="BE443" s="22"/>
      <c r="BF443" s="22"/>
      <c r="BG443" s="22"/>
      <c r="BH443" s="22"/>
      <c r="BI443" s="22"/>
      <c r="BJ443" s="22"/>
      <c r="BK443" s="22"/>
      <c r="BL443" s="22"/>
      <c r="BM443" s="22"/>
    </row>
    <row r="444" spans="2:65">
      <c r="B444" s="20"/>
      <c r="D444" s="19"/>
      <c r="E444" s="22"/>
      <c r="F444" s="22"/>
      <c r="G444" s="22"/>
      <c r="H444" s="22"/>
      <c r="I444" s="23"/>
      <c r="J444" s="24"/>
      <c r="K444" s="23"/>
      <c r="L444" s="24"/>
      <c r="M444" s="23"/>
      <c r="N444" s="24"/>
      <c r="O444" s="23"/>
      <c r="P444" s="24"/>
      <c r="Q444" s="23"/>
      <c r="R444" s="23"/>
      <c r="S444" s="23"/>
      <c r="T444" s="23"/>
      <c r="U444" s="23"/>
      <c r="V444" s="23"/>
      <c r="W444" s="23"/>
      <c r="X444" s="23"/>
      <c r="AO444" s="34"/>
      <c r="AP444" s="22"/>
      <c r="AQ444" s="22"/>
      <c r="AR444" s="22"/>
      <c r="AS444" s="34"/>
      <c r="AT444" s="34"/>
      <c r="AV444" s="34"/>
      <c r="AX444" s="35"/>
      <c r="AY444" s="35"/>
      <c r="AZ444" s="35"/>
      <c r="BA444" s="22"/>
      <c r="BB444" s="22"/>
      <c r="BC444" s="23"/>
      <c r="BD444" s="22"/>
      <c r="BE444" s="22"/>
      <c r="BF444" s="22"/>
      <c r="BG444" s="22"/>
      <c r="BH444" s="22"/>
      <c r="BI444" s="22"/>
      <c r="BJ444" s="22"/>
      <c r="BK444" s="22"/>
      <c r="BL444" s="22"/>
      <c r="BM444" s="22"/>
    </row>
    <row r="445" spans="2:65">
      <c r="B445" s="20"/>
      <c r="D445" s="19"/>
      <c r="E445" s="22"/>
      <c r="F445" s="22"/>
      <c r="G445" s="22"/>
      <c r="H445" s="22"/>
      <c r="I445" s="23"/>
      <c r="J445" s="24"/>
      <c r="K445" s="23"/>
      <c r="L445" s="24"/>
      <c r="M445" s="23"/>
      <c r="N445" s="24"/>
      <c r="O445" s="23"/>
      <c r="P445" s="24"/>
      <c r="Q445" s="23"/>
      <c r="R445" s="23"/>
      <c r="S445" s="23"/>
      <c r="T445" s="23"/>
      <c r="U445" s="23"/>
      <c r="V445" s="23"/>
      <c r="W445" s="23"/>
      <c r="X445" s="23"/>
      <c r="AO445" s="34"/>
      <c r="AP445" s="22"/>
      <c r="AQ445" s="22"/>
      <c r="AR445" s="22"/>
      <c r="AS445" s="34"/>
      <c r="AT445" s="34"/>
      <c r="AV445" s="34"/>
      <c r="AX445" s="35"/>
      <c r="AY445" s="35"/>
      <c r="AZ445" s="35"/>
      <c r="BA445" s="22"/>
      <c r="BB445" s="22"/>
      <c r="BC445" s="23"/>
      <c r="BD445" s="22"/>
      <c r="BE445" s="22"/>
      <c r="BF445" s="22"/>
      <c r="BG445" s="22"/>
      <c r="BH445" s="22"/>
      <c r="BI445" s="22"/>
      <c r="BJ445" s="22"/>
      <c r="BK445" s="22"/>
      <c r="BL445" s="22"/>
      <c r="BM445" s="22"/>
    </row>
    <row r="446" spans="2:65">
      <c r="B446" s="20"/>
      <c r="D446" s="19"/>
      <c r="E446" s="22"/>
      <c r="F446" s="22"/>
      <c r="G446" s="22"/>
      <c r="H446" s="22"/>
      <c r="I446" s="23"/>
      <c r="J446" s="24"/>
      <c r="K446" s="23"/>
      <c r="L446" s="24"/>
      <c r="M446" s="23"/>
      <c r="N446" s="24"/>
      <c r="O446" s="23"/>
      <c r="P446" s="24"/>
      <c r="Q446" s="23"/>
      <c r="R446" s="23"/>
      <c r="S446" s="23"/>
      <c r="T446" s="23"/>
      <c r="U446" s="23"/>
      <c r="V446" s="23"/>
      <c r="W446" s="23"/>
      <c r="X446" s="23"/>
      <c r="AO446" s="34"/>
      <c r="AP446" s="22"/>
      <c r="AQ446" s="22"/>
      <c r="AR446" s="22"/>
      <c r="AS446" s="34"/>
      <c r="AT446" s="34"/>
      <c r="AV446" s="34"/>
      <c r="AX446" s="35"/>
      <c r="AY446" s="35"/>
      <c r="AZ446" s="35"/>
      <c r="BA446" s="22"/>
      <c r="BB446" s="22"/>
      <c r="BC446" s="23"/>
      <c r="BD446" s="22"/>
      <c r="BE446" s="22"/>
      <c r="BF446" s="22"/>
      <c r="BG446" s="22"/>
      <c r="BH446" s="22"/>
      <c r="BI446" s="22"/>
      <c r="BJ446" s="22"/>
      <c r="BK446" s="22"/>
      <c r="BL446" s="22"/>
      <c r="BM446" s="22"/>
    </row>
    <row r="447" spans="2:65">
      <c r="B447" s="20"/>
      <c r="D447" s="19"/>
      <c r="E447" s="22"/>
      <c r="F447" s="22"/>
      <c r="G447" s="22"/>
      <c r="H447" s="22"/>
      <c r="I447" s="23"/>
      <c r="J447" s="24"/>
      <c r="K447" s="23"/>
      <c r="L447" s="24"/>
      <c r="M447" s="23"/>
      <c r="N447" s="24"/>
      <c r="O447" s="23"/>
      <c r="P447" s="24"/>
      <c r="Q447" s="23"/>
      <c r="R447" s="23"/>
      <c r="S447" s="23"/>
      <c r="T447" s="23"/>
      <c r="U447" s="23"/>
      <c r="V447" s="23"/>
      <c r="W447" s="23"/>
      <c r="X447" s="23"/>
      <c r="AO447" s="34"/>
      <c r="AP447" s="22"/>
      <c r="AQ447" s="22"/>
      <c r="AR447" s="22"/>
      <c r="AS447" s="34"/>
      <c r="AT447" s="34"/>
      <c r="AV447" s="34"/>
      <c r="AX447" s="35"/>
      <c r="AY447" s="35"/>
      <c r="AZ447" s="35"/>
      <c r="BA447" s="22"/>
      <c r="BB447" s="22"/>
      <c r="BC447" s="23"/>
      <c r="BD447" s="22"/>
      <c r="BE447" s="22"/>
      <c r="BF447" s="22"/>
      <c r="BG447" s="22"/>
      <c r="BH447" s="22"/>
      <c r="BI447" s="22"/>
      <c r="BJ447" s="22"/>
      <c r="BK447" s="22"/>
      <c r="BL447" s="22"/>
      <c r="BM447" s="22"/>
    </row>
    <row r="448" spans="2:65">
      <c r="B448" s="20"/>
      <c r="D448" s="19"/>
      <c r="E448" s="22"/>
      <c r="F448" s="22"/>
      <c r="G448" s="22"/>
      <c r="H448" s="22"/>
      <c r="I448" s="23"/>
      <c r="J448" s="24"/>
      <c r="K448" s="23"/>
      <c r="L448" s="24"/>
      <c r="M448" s="23"/>
      <c r="N448" s="24"/>
      <c r="O448" s="23"/>
      <c r="P448" s="24"/>
      <c r="Q448" s="23"/>
      <c r="R448" s="23"/>
      <c r="S448" s="23"/>
      <c r="T448" s="23"/>
      <c r="U448" s="23"/>
      <c r="V448" s="23"/>
      <c r="W448" s="23"/>
      <c r="X448" s="23"/>
      <c r="AO448" s="34"/>
      <c r="AP448" s="22"/>
      <c r="AQ448" s="22"/>
      <c r="AR448" s="22"/>
      <c r="AS448" s="34"/>
      <c r="AT448" s="34"/>
      <c r="AV448" s="34"/>
      <c r="AX448" s="35"/>
      <c r="AY448" s="35"/>
      <c r="AZ448" s="35"/>
      <c r="BA448" s="22"/>
      <c r="BB448" s="22"/>
      <c r="BC448" s="23"/>
      <c r="BD448" s="22"/>
      <c r="BE448" s="22"/>
      <c r="BF448" s="22"/>
      <c r="BG448" s="22"/>
      <c r="BH448" s="22"/>
      <c r="BI448" s="22"/>
      <c r="BJ448" s="22"/>
      <c r="BK448" s="22"/>
      <c r="BL448" s="22"/>
      <c r="BM448" s="22"/>
    </row>
    <row r="449" spans="2:65">
      <c r="B449" s="20"/>
      <c r="D449" s="19"/>
      <c r="E449" s="22"/>
      <c r="F449" s="22"/>
      <c r="G449" s="22"/>
      <c r="H449" s="22"/>
      <c r="I449" s="23"/>
      <c r="J449" s="24"/>
      <c r="K449" s="23"/>
      <c r="L449" s="24"/>
      <c r="M449" s="23"/>
      <c r="N449" s="24"/>
      <c r="O449" s="23"/>
      <c r="P449" s="24"/>
      <c r="Q449" s="23"/>
      <c r="R449" s="23"/>
      <c r="S449" s="23"/>
      <c r="T449" s="23"/>
      <c r="U449" s="23"/>
      <c r="V449" s="23"/>
      <c r="W449" s="23"/>
      <c r="X449" s="23"/>
      <c r="AO449" s="34"/>
      <c r="AP449" s="22"/>
      <c r="AQ449" s="22"/>
      <c r="AR449" s="22"/>
      <c r="AS449" s="34"/>
      <c r="AT449" s="34"/>
      <c r="AV449" s="34"/>
      <c r="AX449" s="35"/>
      <c r="AY449" s="35"/>
      <c r="AZ449" s="35"/>
      <c r="BA449" s="22"/>
      <c r="BB449" s="22"/>
      <c r="BC449" s="23"/>
      <c r="BD449" s="22"/>
      <c r="BE449" s="22"/>
      <c r="BF449" s="22"/>
      <c r="BG449" s="22"/>
      <c r="BH449" s="22"/>
      <c r="BI449" s="22"/>
      <c r="BJ449" s="22"/>
      <c r="BK449" s="22"/>
      <c r="BL449" s="22"/>
      <c r="BM449" s="22"/>
    </row>
    <row r="450" spans="2:65">
      <c r="B450" s="20"/>
      <c r="D450" s="19"/>
      <c r="E450" s="22"/>
      <c r="F450" s="22"/>
      <c r="G450" s="22"/>
      <c r="H450" s="22"/>
      <c r="I450" s="23"/>
      <c r="J450" s="24"/>
      <c r="K450" s="23"/>
      <c r="L450" s="24"/>
      <c r="M450" s="23"/>
      <c r="N450" s="24"/>
      <c r="O450" s="23"/>
      <c r="P450" s="24"/>
      <c r="Q450" s="23"/>
      <c r="R450" s="23"/>
      <c r="S450" s="23"/>
      <c r="T450" s="23"/>
      <c r="U450" s="23"/>
      <c r="V450" s="23"/>
      <c r="W450" s="23"/>
      <c r="X450" s="23"/>
      <c r="AO450" s="34"/>
      <c r="AP450" s="22"/>
      <c r="AQ450" s="22"/>
      <c r="AR450" s="22"/>
      <c r="AS450" s="34"/>
      <c r="AT450" s="34"/>
      <c r="AV450" s="34"/>
      <c r="AX450" s="35"/>
      <c r="AY450" s="35"/>
      <c r="AZ450" s="35"/>
      <c r="BA450" s="22"/>
      <c r="BB450" s="22"/>
      <c r="BC450" s="23"/>
      <c r="BD450" s="22"/>
      <c r="BE450" s="22"/>
      <c r="BF450" s="22"/>
      <c r="BG450" s="22"/>
      <c r="BH450" s="22"/>
      <c r="BI450" s="22"/>
      <c r="BJ450" s="22"/>
      <c r="BK450" s="22"/>
      <c r="BL450" s="22"/>
      <c r="BM450" s="22"/>
    </row>
    <row r="451" spans="2:65">
      <c r="B451" s="20"/>
      <c r="D451" s="19"/>
      <c r="E451" s="22"/>
      <c r="F451" s="22"/>
      <c r="G451" s="22"/>
      <c r="H451" s="22"/>
      <c r="I451" s="23"/>
      <c r="J451" s="24"/>
      <c r="K451" s="23"/>
      <c r="L451" s="24"/>
      <c r="M451" s="23"/>
      <c r="N451" s="24"/>
      <c r="O451" s="23"/>
      <c r="P451" s="24"/>
      <c r="Q451" s="23"/>
      <c r="R451" s="23"/>
      <c r="S451" s="23"/>
      <c r="T451" s="23"/>
      <c r="U451" s="23"/>
      <c r="V451" s="23"/>
      <c r="W451" s="23"/>
      <c r="X451" s="23"/>
      <c r="AO451" s="34"/>
      <c r="AP451" s="22"/>
      <c r="AQ451" s="22"/>
      <c r="AR451" s="22"/>
      <c r="AS451" s="34"/>
      <c r="AT451" s="34"/>
      <c r="AV451" s="34"/>
      <c r="AX451" s="35"/>
      <c r="AY451" s="35"/>
      <c r="AZ451" s="35"/>
      <c r="BA451" s="22"/>
      <c r="BB451" s="22"/>
      <c r="BC451" s="23"/>
      <c r="BD451" s="22"/>
      <c r="BE451" s="22"/>
      <c r="BF451" s="22"/>
      <c r="BG451" s="22"/>
      <c r="BH451" s="22"/>
      <c r="BI451" s="22"/>
      <c r="BJ451" s="22"/>
      <c r="BK451" s="22"/>
      <c r="BL451" s="22"/>
      <c r="BM451" s="22"/>
    </row>
    <row r="452" spans="2:65">
      <c r="B452" s="20"/>
      <c r="D452" s="19"/>
      <c r="E452" s="22"/>
      <c r="F452" s="22"/>
      <c r="G452" s="22"/>
      <c r="H452" s="22"/>
      <c r="I452" s="23"/>
      <c r="J452" s="24"/>
      <c r="K452" s="23"/>
      <c r="L452" s="24"/>
      <c r="M452" s="23"/>
      <c r="N452" s="24"/>
      <c r="O452" s="23"/>
      <c r="P452" s="24"/>
      <c r="Q452" s="23"/>
      <c r="R452" s="23"/>
      <c r="S452" s="23"/>
      <c r="T452" s="23"/>
      <c r="U452" s="23"/>
      <c r="V452" s="23"/>
      <c r="W452" s="23"/>
      <c r="X452" s="23"/>
      <c r="AO452" s="34"/>
      <c r="AP452" s="22"/>
      <c r="AQ452" s="22"/>
      <c r="AR452" s="22"/>
      <c r="AS452" s="34"/>
      <c r="AT452" s="34"/>
      <c r="AV452" s="34"/>
      <c r="AX452" s="35"/>
      <c r="AY452" s="35"/>
      <c r="AZ452" s="35"/>
      <c r="BA452" s="22"/>
      <c r="BB452" s="22"/>
      <c r="BC452" s="23"/>
      <c r="BD452" s="22"/>
      <c r="BE452" s="22"/>
      <c r="BF452" s="22"/>
      <c r="BG452" s="22"/>
      <c r="BH452" s="22"/>
      <c r="BI452" s="22"/>
      <c r="BJ452" s="22"/>
      <c r="BK452" s="22"/>
      <c r="BL452" s="22"/>
      <c r="BM452" s="22"/>
    </row>
    <row r="453" spans="2:65">
      <c r="B453" s="20"/>
      <c r="D453" s="19"/>
      <c r="E453" s="22"/>
      <c r="F453" s="22"/>
      <c r="G453" s="22"/>
      <c r="H453" s="22"/>
      <c r="I453" s="23"/>
      <c r="J453" s="24"/>
      <c r="K453" s="23"/>
      <c r="L453" s="24"/>
      <c r="M453" s="23"/>
      <c r="N453" s="24"/>
      <c r="O453" s="23"/>
      <c r="P453" s="24"/>
      <c r="Q453" s="23"/>
      <c r="R453" s="23"/>
      <c r="S453" s="23"/>
      <c r="T453" s="23"/>
      <c r="U453" s="23"/>
      <c r="V453" s="23"/>
      <c r="W453" s="23"/>
      <c r="X453" s="23"/>
      <c r="AO453" s="34"/>
      <c r="AP453" s="22"/>
      <c r="AQ453" s="22"/>
      <c r="AR453" s="22"/>
      <c r="AS453" s="34"/>
      <c r="AT453" s="34"/>
      <c r="AV453" s="34"/>
      <c r="AX453" s="35"/>
      <c r="AY453" s="35"/>
      <c r="AZ453" s="35"/>
      <c r="BA453" s="22"/>
      <c r="BB453" s="22"/>
      <c r="BC453" s="23"/>
      <c r="BD453" s="22"/>
      <c r="BE453" s="22"/>
      <c r="BF453" s="22"/>
      <c r="BG453" s="22"/>
      <c r="BH453" s="22"/>
      <c r="BI453" s="22"/>
      <c r="BJ453" s="22"/>
      <c r="BK453" s="22"/>
      <c r="BL453" s="22"/>
      <c r="BM453" s="22"/>
    </row>
    <row r="454" spans="2:65">
      <c r="B454" s="20"/>
      <c r="D454" s="19"/>
      <c r="E454" s="22"/>
      <c r="F454" s="22"/>
      <c r="G454" s="22"/>
      <c r="H454" s="22"/>
      <c r="I454" s="23"/>
      <c r="J454" s="24"/>
      <c r="K454" s="23"/>
      <c r="L454" s="24"/>
      <c r="M454" s="23"/>
      <c r="N454" s="24"/>
      <c r="O454" s="23"/>
      <c r="P454" s="24"/>
      <c r="Q454" s="23"/>
      <c r="R454" s="23"/>
      <c r="S454" s="23"/>
      <c r="T454" s="23"/>
      <c r="U454" s="23"/>
      <c r="V454" s="23"/>
      <c r="W454" s="23"/>
      <c r="X454" s="23"/>
      <c r="AO454" s="34"/>
      <c r="AP454" s="22"/>
      <c r="AQ454" s="22"/>
      <c r="AR454" s="22"/>
      <c r="AS454" s="34"/>
      <c r="AT454" s="34"/>
      <c r="AV454" s="34"/>
      <c r="AX454" s="35"/>
      <c r="AY454" s="35"/>
      <c r="AZ454" s="35"/>
      <c r="BA454" s="22"/>
      <c r="BB454" s="22"/>
      <c r="BC454" s="23"/>
      <c r="BD454" s="22"/>
      <c r="BE454" s="22"/>
      <c r="BF454" s="22"/>
      <c r="BG454" s="22"/>
      <c r="BH454" s="22"/>
      <c r="BI454" s="22"/>
      <c r="BJ454" s="22"/>
      <c r="BK454" s="22"/>
      <c r="BL454" s="22"/>
      <c r="BM454" s="22"/>
    </row>
    <row r="455" spans="2:65">
      <c r="B455" s="20"/>
      <c r="D455" s="19"/>
      <c r="E455" s="22"/>
      <c r="F455" s="22"/>
      <c r="G455" s="22"/>
      <c r="H455" s="22"/>
      <c r="I455" s="23"/>
      <c r="J455" s="24"/>
      <c r="K455" s="23"/>
      <c r="L455" s="24"/>
      <c r="M455" s="23"/>
      <c r="N455" s="24"/>
      <c r="O455" s="23"/>
      <c r="P455" s="24"/>
      <c r="Q455" s="23"/>
      <c r="R455" s="23"/>
      <c r="S455" s="23"/>
      <c r="T455" s="23"/>
      <c r="U455" s="23"/>
      <c r="V455" s="23"/>
      <c r="W455" s="23"/>
      <c r="X455" s="23"/>
      <c r="AO455" s="34"/>
      <c r="AP455" s="22"/>
      <c r="AQ455" s="22"/>
      <c r="AR455" s="22"/>
      <c r="AS455" s="34"/>
      <c r="AT455" s="34"/>
      <c r="AV455" s="34"/>
      <c r="AX455" s="35"/>
      <c r="AY455" s="35"/>
      <c r="AZ455" s="35"/>
      <c r="BA455" s="22"/>
      <c r="BB455" s="22"/>
      <c r="BC455" s="23"/>
      <c r="BD455" s="22"/>
      <c r="BE455" s="22"/>
      <c r="BF455" s="22"/>
      <c r="BG455" s="22"/>
      <c r="BH455" s="22"/>
      <c r="BI455" s="22"/>
      <c r="BJ455" s="22"/>
      <c r="BK455" s="22"/>
      <c r="BL455" s="22"/>
      <c r="BM455" s="22"/>
    </row>
    <row r="456" spans="2:65">
      <c r="B456" s="20"/>
      <c r="D456" s="19"/>
      <c r="E456" s="22"/>
      <c r="F456" s="22"/>
      <c r="G456" s="22"/>
      <c r="H456" s="22"/>
      <c r="I456" s="23"/>
      <c r="J456" s="24"/>
      <c r="K456" s="23"/>
      <c r="L456" s="24"/>
      <c r="M456" s="23"/>
      <c r="N456" s="24"/>
      <c r="O456" s="23"/>
      <c r="P456" s="24"/>
      <c r="Q456" s="23"/>
      <c r="R456" s="23"/>
      <c r="S456" s="23"/>
      <c r="T456" s="23"/>
      <c r="U456" s="23"/>
      <c r="V456" s="23"/>
      <c r="W456" s="23"/>
      <c r="X456" s="23"/>
      <c r="AO456" s="34"/>
      <c r="AP456" s="22"/>
      <c r="AQ456" s="22"/>
      <c r="AR456" s="22"/>
      <c r="AS456" s="34"/>
      <c r="AT456" s="34"/>
      <c r="AV456" s="34"/>
      <c r="AX456" s="35"/>
      <c r="AY456" s="35"/>
      <c r="AZ456" s="35"/>
      <c r="BA456" s="22"/>
      <c r="BB456" s="22"/>
      <c r="BC456" s="23"/>
      <c r="BD456" s="22"/>
      <c r="BE456" s="22"/>
      <c r="BF456" s="22"/>
      <c r="BG456" s="22"/>
      <c r="BH456" s="22"/>
      <c r="BI456" s="22"/>
      <c r="BJ456" s="22"/>
      <c r="BK456" s="22"/>
      <c r="BL456" s="22"/>
      <c r="BM456" s="22"/>
    </row>
    <row r="457" spans="2:65">
      <c r="B457" s="20"/>
      <c r="D457" s="19"/>
      <c r="E457" s="22"/>
      <c r="F457" s="22"/>
      <c r="G457" s="22"/>
      <c r="H457" s="22"/>
      <c r="I457" s="23"/>
      <c r="J457" s="24"/>
      <c r="K457" s="23"/>
      <c r="L457" s="24"/>
      <c r="M457" s="23"/>
      <c r="N457" s="24"/>
      <c r="O457" s="23"/>
      <c r="P457" s="24"/>
      <c r="Q457" s="23"/>
      <c r="R457" s="23"/>
      <c r="S457" s="23"/>
      <c r="T457" s="23"/>
      <c r="U457" s="23"/>
      <c r="V457" s="23"/>
      <c r="W457" s="23"/>
      <c r="X457" s="23"/>
      <c r="AO457" s="34"/>
      <c r="AP457" s="22"/>
      <c r="AQ457" s="22"/>
      <c r="AR457" s="22"/>
      <c r="AS457" s="34"/>
      <c r="AT457" s="34"/>
      <c r="AV457" s="34"/>
      <c r="AX457" s="35"/>
      <c r="AY457" s="35"/>
      <c r="AZ457" s="35"/>
      <c r="BA457" s="22"/>
      <c r="BB457" s="22"/>
      <c r="BC457" s="23"/>
      <c r="BD457" s="22"/>
      <c r="BE457" s="22"/>
      <c r="BF457" s="22"/>
      <c r="BG457" s="22"/>
      <c r="BH457" s="22"/>
      <c r="BI457" s="22"/>
      <c r="BJ457" s="22"/>
      <c r="BK457" s="22"/>
      <c r="BL457" s="22"/>
      <c r="BM457" s="22"/>
    </row>
    <row r="458" spans="2:65">
      <c r="B458" s="20"/>
      <c r="D458" s="19"/>
      <c r="E458" s="22"/>
      <c r="F458" s="22"/>
      <c r="G458" s="22"/>
      <c r="H458" s="22"/>
      <c r="I458" s="23"/>
      <c r="J458" s="24"/>
      <c r="K458" s="23"/>
      <c r="L458" s="24"/>
      <c r="M458" s="23"/>
      <c r="N458" s="24"/>
      <c r="O458" s="23"/>
      <c r="P458" s="24"/>
      <c r="Q458" s="23"/>
      <c r="R458" s="23"/>
      <c r="S458" s="23"/>
      <c r="T458" s="23"/>
      <c r="U458" s="23"/>
      <c r="V458" s="23"/>
      <c r="W458" s="23"/>
      <c r="X458" s="23"/>
      <c r="AO458" s="34"/>
      <c r="AP458" s="22"/>
      <c r="AQ458" s="22"/>
      <c r="AR458" s="22"/>
      <c r="AS458" s="34"/>
      <c r="AT458" s="34"/>
      <c r="AV458" s="34"/>
      <c r="AX458" s="35"/>
      <c r="AY458" s="35"/>
      <c r="AZ458" s="35"/>
      <c r="BA458" s="22"/>
      <c r="BB458" s="22"/>
      <c r="BC458" s="23"/>
      <c r="BD458" s="22"/>
      <c r="BE458" s="22"/>
      <c r="BF458" s="22"/>
      <c r="BG458" s="22"/>
      <c r="BH458" s="22"/>
      <c r="BI458" s="22"/>
      <c r="BJ458" s="22"/>
      <c r="BK458" s="22"/>
      <c r="BL458" s="22"/>
      <c r="BM458" s="22"/>
    </row>
    <row r="459" spans="2:65">
      <c r="B459" s="20"/>
      <c r="D459" s="19"/>
      <c r="E459" s="22"/>
      <c r="F459" s="22"/>
      <c r="G459" s="22"/>
      <c r="H459" s="22"/>
      <c r="I459" s="23"/>
      <c r="J459" s="24"/>
      <c r="K459" s="23"/>
      <c r="L459" s="24"/>
      <c r="M459" s="23"/>
      <c r="N459" s="24"/>
      <c r="O459" s="23"/>
      <c r="P459" s="24"/>
      <c r="Q459" s="23"/>
      <c r="R459" s="23"/>
      <c r="S459" s="23"/>
      <c r="T459" s="23"/>
      <c r="U459" s="23"/>
      <c r="V459" s="23"/>
      <c r="W459" s="23"/>
      <c r="X459" s="23"/>
      <c r="AO459" s="34"/>
      <c r="AP459" s="22"/>
      <c r="AQ459" s="22"/>
      <c r="AR459" s="22"/>
      <c r="AS459" s="34"/>
      <c r="AT459" s="34"/>
      <c r="AV459" s="34"/>
      <c r="AX459" s="35"/>
      <c r="AY459" s="35"/>
      <c r="AZ459" s="35"/>
      <c r="BA459" s="22"/>
      <c r="BB459" s="22"/>
      <c r="BC459" s="23"/>
      <c r="BD459" s="22"/>
      <c r="BE459" s="22"/>
      <c r="BF459" s="22"/>
      <c r="BG459" s="22"/>
      <c r="BH459" s="22"/>
      <c r="BI459" s="22"/>
      <c r="BJ459" s="22"/>
      <c r="BK459" s="22"/>
      <c r="BL459" s="22"/>
      <c r="BM459" s="22"/>
    </row>
    <row r="460" spans="2:65">
      <c r="B460" s="20"/>
      <c r="D460" s="19"/>
      <c r="E460" s="22"/>
      <c r="F460" s="22"/>
      <c r="G460" s="22"/>
      <c r="H460" s="22"/>
      <c r="I460" s="23"/>
      <c r="J460" s="24"/>
      <c r="K460" s="23"/>
      <c r="L460" s="24"/>
      <c r="M460" s="23"/>
      <c r="N460" s="24"/>
      <c r="O460" s="23"/>
      <c r="P460" s="24"/>
      <c r="Q460" s="23"/>
      <c r="R460" s="23"/>
      <c r="S460" s="23"/>
      <c r="T460" s="23"/>
      <c r="U460" s="23"/>
      <c r="V460" s="23"/>
      <c r="W460" s="23"/>
      <c r="X460" s="23"/>
      <c r="AO460" s="34"/>
      <c r="AP460" s="22"/>
      <c r="AQ460" s="22"/>
      <c r="AR460" s="22"/>
      <c r="AS460" s="34"/>
      <c r="AT460" s="34"/>
      <c r="AV460" s="34"/>
      <c r="AX460" s="35"/>
      <c r="AY460" s="35"/>
      <c r="AZ460" s="35"/>
      <c r="BA460" s="22"/>
      <c r="BB460" s="22"/>
      <c r="BC460" s="23"/>
      <c r="BD460" s="22"/>
      <c r="BE460" s="22"/>
      <c r="BF460" s="22"/>
      <c r="BG460" s="22"/>
      <c r="BH460" s="22"/>
      <c r="BI460" s="22"/>
      <c r="BJ460" s="22"/>
      <c r="BK460" s="22"/>
      <c r="BL460" s="22"/>
      <c r="BM460" s="22"/>
    </row>
    <row r="461" spans="2:65">
      <c r="B461" s="20"/>
      <c r="D461" s="19"/>
      <c r="E461" s="22"/>
      <c r="F461" s="22"/>
      <c r="G461" s="22"/>
      <c r="H461" s="22"/>
      <c r="I461" s="23"/>
      <c r="J461" s="24"/>
      <c r="K461" s="23"/>
      <c r="L461" s="24"/>
      <c r="M461" s="23"/>
      <c r="N461" s="24"/>
      <c r="O461" s="23"/>
      <c r="P461" s="24"/>
      <c r="Q461" s="23"/>
      <c r="R461" s="23"/>
      <c r="S461" s="23"/>
      <c r="T461" s="23"/>
      <c r="U461" s="23"/>
      <c r="V461" s="23"/>
      <c r="W461" s="23"/>
      <c r="X461" s="23"/>
      <c r="AO461" s="34"/>
      <c r="AP461" s="22"/>
      <c r="AQ461" s="22"/>
      <c r="AR461" s="22"/>
      <c r="AS461" s="34"/>
      <c r="AT461" s="34"/>
      <c r="AV461" s="34"/>
      <c r="AX461" s="35"/>
      <c r="AY461" s="35"/>
      <c r="AZ461" s="35"/>
      <c r="BA461" s="22"/>
      <c r="BB461" s="22"/>
      <c r="BC461" s="23"/>
      <c r="BD461" s="22"/>
      <c r="BE461" s="22"/>
      <c r="BF461" s="22"/>
      <c r="BG461" s="22"/>
      <c r="BH461" s="22"/>
      <c r="BI461" s="22"/>
      <c r="BJ461" s="22"/>
      <c r="BK461" s="22"/>
      <c r="BL461" s="22"/>
      <c r="BM461" s="22"/>
    </row>
    <row r="462" spans="2:65">
      <c r="B462" s="20"/>
      <c r="D462" s="19"/>
      <c r="E462" s="22"/>
      <c r="F462" s="22"/>
      <c r="G462" s="22"/>
      <c r="H462" s="22"/>
      <c r="I462" s="23"/>
      <c r="J462" s="24"/>
      <c r="K462" s="23"/>
      <c r="L462" s="24"/>
      <c r="M462" s="23"/>
      <c r="N462" s="24"/>
      <c r="O462" s="23"/>
      <c r="P462" s="24"/>
      <c r="Q462" s="23"/>
      <c r="R462" s="23"/>
      <c r="S462" s="23"/>
      <c r="T462" s="23"/>
      <c r="U462" s="23"/>
      <c r="V462" s="23"/>
      <c r="W462" s="23"/>
      <c r="X462" s="23"/>
      <c r="AO462" s="34"/>
      <c r="AP462" s="22"/>
      <c r="AQ462" s="22"/>
      <c r="AR462" s="22"/>
      <c r="AS462" s="34"/>
      <c r="AT462" s="34"/>
      <c r="AV462" s="34"/>
      <c r="AX462" s="35"/>
      <c r="AY462" s="35"/>
      <c r="AZ462" s="35"/>
      <c r="BA462" s="22"/>
      <c r="BB462" s="22"/>
      <c r="BC462" s="23"/>
      <c r="BD462" s="22"/>
      <c r="BE462" s="22"/>
      <c r="BF462" s="22"/>
      <c r="BG462" s="22"/>
      <c r="BH462" s="22"/>
      <c r="BI462" s="22"/>
      <c r="BJ462" s="22"/>
      <c r="BK462" s="22"/>
      <c r="BL462" s="22"/>
      <c r="BM462" s="22"/>
    </row>
    <row r="463" spans="2:65">
      <c r="B463" s="20"/>
      <c r="D463" s="19"/>
      <c r="E463" s="22"/>
      <c r="F463" s="22"/>
      <c r="G463" s="22"/>
      <c r="H463" s="22"/>
      <c r="I463" s="23"/>
      <c r="J463" s="24"/>
      <c r="K463" s="23"/>
      <c r="L463" s="24"/>
      <c r="M463" s="23"/>
      <c r="N463" s="24"/>
      <c r="O463" s="23"/>
      <c r="P463" s="24"/>
      <c r="Q463" s="23"/>
      <c r="R463" s="23"/>
      <c r="S463" s="23"/>
      <c r="T463" s="23"/>
      <c r="U463" s="23"/>
      <c r="V463" s="23"/>
      <c r="W463" s="23"/>
      <c r="X463" s="23"/>
      <c r="AO463" s="34"/>
      <c r="AP463" s="22"/>
      <c r="AQ463" s="22"/>
      <c r="AR463" s="22"/>
      <c r="AS463" s="34"/>
      <c r="AT463" s="34"/>
      <c r="AV463" s="34"/>
      <c r="AX463" s="35"/>
      <c r="AY463" s="35"/>
      <c r="AZ463" s="35"/>
      <c r="BA463" s="22"/>
      <c r="BB463" s="22"/>
      <c r="BC463" s="23"/>
      <c r="BD463" s="22"/>
      <c r="BE463" s="22"/>
      <c r="BF463" s="22"/>
      <c r="BG463" s="22"/>
      <c r="BH463" s="22"/>
      <c r="BI463" s="22"/>
      <c r="BJ463" s="22"/>
      <c r="BK463" s="22"/>
      <c r="BL463" s="22"/>
      <c r="BM463" s="22"/>
    </row>
    <row r="464" spans="2:65">
      <c r="B464" s="20"/>
      <c r="D464" s="19"/>
      <c r="E464" s="22"/>
      <c r="F464" s="22"/>
      <c r="G464" s="22"/>
      <c r="H464" s="22"/>
      <c r="I464" s="23"/>
      <c r="J464" s="24"/>
      <c r="K464" s="23"/>
      <c r="L464" s="24"/>
      <c r="M464" s="23"/>
      <c r="N464" s="24"/>
      <c r="O464" s="23"/>
      <c r="P464" s="24"/>
      <c r="Q464" s="23"/>
      <c r="R464" s="23"/>
      <c r="S464" s="23"/>
      <c r="T464" s="23"/>
      <c r="U464" s="23"/>
      <c r="V464" s="23"/>
      <c r="W464" s="23"/>
      <c r="X464" s="23"/>
      <c r="AO464" s="34"/>
      <c r="AP464" s="22"/>
      <c r="AQ464" s="22"/>
      <c r="AR464" s="22"/>
      <c r="AS464" s="34"/>
      <c r="AT464" s="34"/>
      <c r="AV464" s="34"/>
      <c r="AX464" s="35"/>
      <c r="AY464" s="35"/>
      <c r="AZ464" s="35"/>
      <c r="BA464" s="22"/>
      <c r="BB464" s="22"/>
      <c r="BC464" s="23"/>
      <c r="BD464" s="22"/>
      <c r="BE464" s="22"/>
      <c r="BF464" s="22"/>
      <c r="BG464" s="22"/>
      <c r="BH464" s="22"/>
      <c r="BI464" s="22"/>
      <c r="BJ464" s="22"/>
      <c r="BK464" s="22"/>
      <c r="BL464" s="22"/>
      <c r="BM464" s="22"/>
    </row>
    <row r="465" spans="2:65">
      <c r="B465" s="20"/>
      <c r="D465" s="19"/>
      <c r="E465" s="22"/>
      <c r="F465" s="22"/>
      <c r="G465" s="22"/>
      <c r="H465" s="22"/>
      <c r="I465" s="23"/>
      <c r="J465" s="24"/>
      <c r="K465" s="23"/>
      <c r="L465" s="24"/>
      <c r="M465" s="23"/>
      <c r="N465" s="24"/>
      <c r="O465" s="23"/>
      <c r="P465" s="24"/>
      <c r="Q465" s="23"/>
      <c r="R465" s="23"/>
      <c r="S465" s="23"/>
      <c r="T465" s="23"/>
      <c r="U465" s="23"/>
      <c r="V465" s="23"/>
      <c r="W465" s="23"/>
      <c r="X465" s="23"/>
      <c r="AO465" s="34"/>
      <c r="AP465" s="22"/>
      <c r="AQ465" s="22"/>
      <c r="AR465" s="22"/>
      <c r="AS465" s="34"/>
      <c r="AT465" s="34"/>
      <c r="AV465" s="34"/>
      <c r="AX465" s="35"/>
      <c r="AY465" s="35"/>
      <c r="AZ465" s="35"/>
      <c r="BA465" s="22"/>
      <c r="BB465" s="22"/>
      <c r="BC465" s="23"/>
      <c r="BD465" s="22"/>
      <c r="BE465" s="22"/>
      <c r="BF465" s="22"/>
      <c r="BG465" s="22"/>
      <c r="BH465" s="22"/>
      <c r="BI465" s="22"/>
      <c r="BJ465" s="22"/>
      <c r="BK465" s="22"/>
      <c r="BL465" s="22"/>
      <c r="BM465" s="22"/>
    </row>
    <row r="466" spans="2:65">
      <c r="B466" s="20"/>
      <c r="D466" s="19"/>
      <c r="E466" s="22"/>
      <c r="F466" s="22"/>
      <c r="G466" s="22"/>
      <c r="H466" s="22"/>
      <c r="I466" s="23"/>
      <c r="J466" s="24"/>
      <c r="K466" s="23"/>
      <c r="L466" s="24"/>
      <c r="M466" s="23"/>
      <c r="N466" s="24"/>
      <c r="O466" s="23"/>
      <c r="P466" s="24"/>
      <c r="Q466" s="23"/>
      <c r="R466" s="23"/>
      <c r="S466" s="23"/>
      <c r="T466" s="23"/>
      <c r="U466" s="23"/>
      <c r="V466" s="23"/>
      <c r="W466" s="23"/>
      <c r="X466" s="23"/>
      <c r="AO466" s="34"/>
      <c r="AP466" s="22"/>
      <c r="AQ466" s="22"/>
      <c r="AR466" s="22"/>
      <c r="AS466" s="34"/>
      <c r="AT466" s="34"/>
      <c r="AV466" s="34"/>
      <c r="AX466" s="35"/>
      <c r="AY466" s="35"/>
      <c r="AZ466" s="35"/>
      <c r="BA466" s="22"/>
      <c r="BB466" s="22"/>
      <c r="BC466" s="23"/>
      <c r="BD466" s="22"/>
      <c r="BE466" s="22"/>
      <c r="BF466" s="22"/>
      <c r="BG466" s="22"/>
      <c r="BH466" s="22"/>
      <c r="BI466" s="22"/>
      <c r="BJ466" s="22"/>
      <c r="BK466" s="22"/>
      <c r="BL466" s="22"/>
      <c r="BM466" s="22"/>
    </row>
    <row r="467" spans="2:65">
      <c r="B467" s="20"/>
      <c r="D467" s="19"/>
      <c r="E467" s="22"/>
      <c r="F467" s="22"/>
      <c r="G467" s="22"/>
      <c r="H467" s="22"/>
      <c r="I467" s="23"/>
      <c r="J467" s="24"/>
      <c r="K467" s="23"/>
      <c r="L467" s="24"/>
      <c r="M467" s="23"/>
      <c r="N467" s="24"/>
      <c r="O467" s="23"/>
      <c r="P467" s="24"/>
      <c r="Q467" s="23"/>
      <c r="R467" s="23"/>
      <c r="S467" s="23"/>
      <c r="T467" s="23"/>
      <c r="U467" s="23"/>
      <c r="V467" s="23"/>
      <c r="W467" s="23"/>
      <c r="X467" s="23"/>
      <c r="AO467" s="34"/>
      <c r="AP467" s="22"/>
      <c r="AQ467" s="22"/>
      <c r="AR467" s="22"/>
      <c r="AS467" s="34"/>
      <c r="AT467" s="34"/>
      <c r="AV467" s="34"/>
      <c r="AX467" s="35"/>
      <c r="AY467" s="35"/>
      <c r="AZ467" s="35"/>
      <c r="BA467" s="22"/>
      <c r="BB467" s="22"/>
      <c r="BC467" s="23"/>
      <c r="BD467" s="22"/>
      <c r="BE467" s="22"/>
      <c r="BF467" s="22"/>
      <c r="BG467" s="22"/>
      <c r="BH467" s="22"/>
      <c r="BI467" s="22"/>
      <c r="BJ467" s="22"/>
      <c r="BK467" s="22"/>
      <c r="BL467" s="22"/>
      <c r="BM467" s="22"/>
    </row>
    <row r="468" spans="2:65">
      <c r="B468" s="20"/>
      <c r="D468" s="19"/>
      <c r="E468" s="22"/>
      <c r="F468" s="22"/>
      <c r="G468" s="22"/>
      <c r="H468" s="22"/>
      <c r="I468" s="23"/>
      <c r="J468" s="24"/>
      <c r="K468" s="23"/>
      <c r="L468" s="24"/>
      <c r="M468" s="23"/>
      <c r="N468" s="24"/>
      <c r="O468" s="23"/>
      <c r="P468" s="24"/>
      <c r="Q468" s="23"/>
      <c r="R468" s="23"/>
      <c r="S468" s="23"/>
      <c r="T468" s="23"/>
      <c r="U468" s="23"/>
      <c r="V468" s="23"/>
      <c r="W468" s="23"/>
      <c r="X468" s="23"/>
      <c r="AO468" s="34"/>
      <c r="AP468" s="22"/>
      <c r="AQ468" s="22"/>
      <c r="AR468" s="22"/>
      <c r="AS468" s="34"/>
      <c r="AT468" s="34"/>
      <c r="AV468" s="34"/>
      <c r="AX468" s="35"/>
      <c r="AY468" s="35"/>
      <c r="AZ468" s="35"/>
      <c r="BA468" s="22"/>
      <c r="BB468" s="22"/>
      <c r="BC468" s="23"/>
      <c r="BD468" s="22"/>
      <c r="BE468" s="22"/>
      <c r="BF468" s="22"/>
      <c r="BG468" s="22"/>
      <c r="BH468" s="22"/>
      <c r="BI468" s="22"/>
      <c r="BJ468" s="22"/>
      <c r="BK468" s="22"/>
      <c r="BL468" s="22"/>
      <c r="BM468" s="22"/>
    </row>
    <row r="469" spans="2:65">
      <c r="B469" s="20"/>
      <c r="D469" s="19"/>
      <c r="E469" s="22"/>
      <c r="F469" s="22"/>
      <c r="G469" s="22"/>
      <c r="H469" s="22"/>
      <c r="I469" s="23"/>
      <c r="J469" s="24"/>
      <c r="K469" s="23"/>
      <c r="L469" s="24"/>
      <c r="M469" s="23"/>
      <c r="N469" s="24"/>
      <c r="O469" s="23"/>
      <c r="P469" s="24"/>
      <c r="Q469" s="23"/>
      <c r="R469" s="23"/>
      <c r="S469" s="23"/>
      <c r="T469" s="23"/>
      <c r="U469" s="23"/>
      <c r="V469" s="23"/>
      <c r="W469" s="23"/>
      <c r="X469" s="23"/>
      <c r="AO469" s="34"/>
      <c r="AP469" s="22"/>
      <c r="AQ469" s="22"/>
      <c r="AR469" s="22"/>
      <c r="AS469" s="34"/>
      <c r="AT469" s="34"/>
      <c r="AV469" s="34"/>
      <c r="AX469" s="35"/>
      <c r="AY469" s="35"/>
      <c r="AZ469" s="35"/>
      <c r="BA469" s="22"/>
      <c r="BB469" s="22"/>
      <c r="BC469" s="23"/>
      <c r="BD469" s="22"/>
      <c r="BE469" s="22"/>
      <c r="BF469" s="22"/>
      <c r="BG469" s="22"/>
      <c r="BH469" s="22"/>
      <c r="BI469" s="22"/>
      <c r="BJ469" s="22"/>
      <c r="BK469" s="22"/>
      <c r="BL469" s="22"/>
      <c r="BM469" s="22"/>
    </row>
    <row r="470" spans="2:65">
      <c r="B470" s="20"/>
      <c r="D470" s="19"/>
      <c r="E470" s="22"/>
      <c r="F470" s="22"/>
      <c r="G470" s="22"/>
      <c r="H470" s="22"/>
      <c r="I470" s="23"/>
      <c r="J470" s="24"/>
      <c r="K470" s="23"/>
      <c r="L470" s="24"/>
      <c r="M470" s="23"/>
      <c r="N470" s="24"/>
      <c r="O470" s="23"/>
      <c r="P470" s="24"/>
      <c r="Q470" s="23"/>
      <c r="R470" s="23"/>
      <c r="S470" s="23"/>
      <c r="T470" s="23"/>
      <c r="U470" s="23"/>
      <c r="V470" s="23"/>
      <c r="W470" s="23"/>
      <c r="X470" s="23"/>
      <c r="AO470" s="34"/>
      <c r="AP470" s="22"/>
      <c r="AQ470" s="22"/>
      <c r="AR470" s="22"/>
      <c r="AS470" s="34"/>
      <c r="AT470" s="34"/>
      <c r="AV470" s="34"/>
      <c r="AX470" s="35"/>
      <c r="AY470" s="35"/>
      <c r="AZ470" s="35"/>
      <c r="BA470" s="22"/>
      <c r="BB470" s="22"/>
      <c r="BC470" s="23"/>
      <c r="BD470" s="22"/>
      <c r="BE470" s="22"/>
      <c r="BF470" s="22"/>
      <c r="BG470" s="22"/>
      <c r="BH470" s="22"/>
      <c r="BI470" s="22"/>
      <c r="BJ470" s="22"/>
      <c r="BK470" s="22"/>
      <c r="BL470" s="22"/>
      <c r="BM470" s="22"/>
    </row>
    <row r="471" spans="2:65">
      <c r="B471" s="20"/>
      <c r="D471" s="19"/>
      <c r="E471" s="22"/>
      <c r="F471" s="22"/>
      <c r="G471" s="22"/>
      <c r="H471" s="22"/>
      <c r="I471" s="23"/>
      <c r="J471" s="24"/>
      <c r="K471" s="23"/>
      <c r="L471" s="24"/>
      <c r="M471" s="23"/>
      <c r="N471" s="24"/>
      <c r="O471" s="23"/>
      <c r="P471" s="24"/>
      <c r="Q471" s="23"/>
      <c r="R471" s="23"/>
      <c r="S471" s="23"/>
      <c r="T471" s="23"/>
      <c r="U471" s="23"/>
      <c r="V471" s="23"/>
      <c r="W471" s="23"/>
      <c r="X471" s="23"/>
      <c r="AO471" s="34"/>
      <c r="AP471" s="22"/>
      <c r="AQ471" s="22"/>
      <c r="AR471" s="22"/>
      <c r="AS471" s="34"/>
      <c r="AT471" s="34"/>
      <c r="AV471" s="34"/>
      <c r="AX471" s="35"/>
      <c r="AY471" s="35"/>
      <c r="AZ471" s="35"/>
      <c r="BA471" s="22"/>
      <c r="BB471" s="22"/>
      <c r="BC471" s="23"/>
      <c r="BD471" s="22"/>
      <c r="BE471" s="22"/>
      <c r="BF471" s="22"/>
      <c r="BG471" s="22"/>
      <c r="BH471" s="22"/>
      <c r="BI471" s="22"/>
      <c r="BJ471" s="22"/>
      <c r="BK471" s="22"/>
      <c r="BL471" s="22"/>
      <c r="BM471" s="22"/>
    </row>
    <row r="472" spans="2:65">
      <c r="B472" s="20"/>
      <c r="D472" s="19"/>
      <c r="E472" s="22"/>
      <c r="F472" s="22"/>
      <c r="G472" s="22"/>
      <c r="H472" s="22"/>
      <c r="I472" s="23"/>
      <c r="J472" s="24"/>
      <c r="K472" s="23"/>
      <c r="L472" s="24"/>
      <c r="M472" s="23"/>
      <c r="N472" s="24"/>
      <c r="O472" s="23"/>
      <c r="P472" s="24"/>
      <c r="Q472" s="23"/>
      <c r="R472" s="23"/>
      <c r="S472" s="23"/>
      <c r="T472" s="23"/>
      <c r="U472" s="23"/>
      <c r="V472" s="23"/>
      <c r="W472" s="23"/>
      <c r="X472" s="23"/>
      <c r="AO472" s="34"/>
      <c r="AP472" s="22"/>
      <c r="AQ472" s="22"/>
      <c r="AR472" s="22"/>
      <c r="AS472" s="34"/>
      <c r="AT472" s="34"/>
      <c r="AV472" s="34"/>
      <c r="AX472" s="35"/>
      <c r="AY472" s="35"/>
      <c r="AZ472" s="35"/>
      <c r="BA472" s="22"/>
      <c r="BB472" s="22"/>
      <c r="BC472" s="23"/>
      <c r="BD472" s="22"/>
      <c r="BE472" s="22"/>
      <c r="BF472" s="22"/>
      <c r="BG472" s="22"/>
      <c r="BH472" s="22"/>
      <c r="BI472" s="22"/>
      <c r="BJ472" s="22"/>
      <c r="BK472" s="22"/>
      <c r="BL472" s="22"/>
      <c r="BM472" s="22"/>
    </row>
    <row r="473" spans="2:65">
      <c r="B473" s="20"/>
      <c r="D473" s="19"/>
      <c r="E473" s="22"/>
      <c r="F473" s="22"/>
      <c r="G473" s="22"/>
      <c r="H473" s="22"/>
      <c r="I473" s="23"/>
      <c r="J473" s="24"/>
      <c r="K473" s="23"/>
      <c r="L473" s="24"/>
      <c r="M473" s="23"/>
      <c r="N473" s="24"/>
      <c r="O473" s="23"/>
      <c r="P473" s="24"/>
      <c r="Q473" s="23"/>
      <c r="R473" s="23"/>
      <c r="S473" s="23"/>
      <c r="T473" s="23"/>
      <c r="U473" s="23"/>
      <c r="V473" s="23"/>
      <c r="W473" s="23"/>
      <c r="X473" s="23"/>
      <c r="AO473" s="34"/>
      <c r="AP473" s="22"/>
      <c r="AQ473" s="22"/>
      <c r="AR473" s="22"/>
      <c r="AS473" s="34"/>
      <c r="AT473" s="34"/>
      <c r="AV473" s="34"/>
      <c r="AX473" s="35"/>
      <c r="AY473" s="35"/>
      <c r="AZ473" s="35"/>
      <c r="BA473" s="22"/>
      <c r="BB473" s="22"/>
      <c r="BC473" s="23"/>
      <c r="BD473" s="22"/>
      <c r="BE473" s="22"/>
      <c r="BF473" s="22"/>
      <c r="BG473" s="22"/>
      <c r="BH473" s="22"/>
      <c r="BI473" s="22"/>
      <c r="BJ473" s="22"/>
      <c r="BK473" s="22"/>
      <c r="BL473" s="22"/>
      <c r="BM473" s="22"/>
    </row>
    <row r="474" spans="2:65">
      <c r="B474" s="20"/>
      <c r="D474" s="19"/>
      <c r="E474" s="22"/>
      <c r="F474" s="22"/>
      <c r="G474" s="22"/>
      <c r="H474" s="22"/>
      <c r="I474" s="23"/>
      <c r="J474" s="24"/>
      <c r="K474" s="23"/>
      <c r="L474" s="24"/>
      <c r="M474" s="23"/>
      <c r="N474" s="24"/>
      <c r="O474" s="23"/>
      <c r="P474" s="24"/>
      <c r="Q474" s="23"/>
      <c r="R474" s="23"/>
      <c r="S474" s="23"/>
      <c r="T474" s="23"/>
      <c r="U474" s="23"/>
      <c r="V474" s="23"/>
      <c r="W474" s="23"/>
      <c r="X474" s="23"/>
      <c r="AO474" s="34"/>
      <c r="AP474" s="22"/>
      <c r="AQ474" s="22"/>
      <c r="AR474" s="22"/>
      <c r="AS474" s="34"/>
      <c r="AT474" s="34"/>
      <c r="AV474" s="34"/>
      <c r="AX474" s="35"/>
      <c r="AY474" s="35"/>
      <c r="AZ474" s="35"/>
      <c r="BA474" s="22"/>
      <c r="BB474" s="22"/>
      <c r="BC474" s="23"/>
      <c r="BD474" s="22"/>
      <c r="BE474" s="22"/>
      <c r="BF474" s="22"/>
      <c r="BG474" s="22"/>
      <c r="BH474" s="22"/>
      <c r="BI474" s="22"/>
      <c r="BJ474" s="22"/>
      <c r="BK474" s="22"/>
      <c r="BL474" s="22"/>
      <c r="BM474" s="22"/>
    </row>
    <row r="475" spans="2:65">
      <c r="B475" s="20"/>
      <c r="D475" s="19"/>
      <c r="E475" s="22"/>
      <c r="F475" s="22"/>
      <c r="G475" s="22"/>
      <c r="H475" s="22"/>
      <c r="I475" s="23"/>
      <c r="J475" s="24"/>
      <c r="K475" s="23"/>
      <c r="L475" s="24"/>
      <c r="M475" s="23"/>
      <c r="N475" s="24"/>
      <c r="O475" s="23"/>
      <c r="P475" s="24"/>
      <c r="Q475" s="23"/>
      <c r="R475" s="23"/>
      <c r="S475" s="23"/>
      <c r="T475" s="23"/>
      <c r="U475" s="23"/>
      <c r="V475" s="23"/>
      <c r="W475" s="23"/>
      <c r="X475" s="23"/>
      <c r="AO475" s="34"/>
      <c r="AP475" s="22"/>
      <c r="AQ475" s="22"/>
      <c r="AR475" s="22"/>
      <c r="AS475" s="34"/>
      <c r="AT475" s="34"/>
      <c r="AV475" s="34"/>
      <c r="AX475" s="35"/>
      <c r="AY475" s="35"/>
      <c r="AZ475" s="35"/>
      <c r="BA475" s="22"/>
      <c r="BB475" s="22"/>
      <c r="BC475" s="23"/>
      <c r="BD475" s="22"/>
      <c r="BE475" s="22"/>
      <c r="BF475" s="22"/>
      <c r="BG475" s="22"/>
      <c r="BH475" s="22"/>
      <c r="BI475" s="22"/>
      <c r="BJ475" s="22"/>
      <c r="BK475" s="22"/>
      <c r="BL475" s="22"/>
      <c r="BM475" s="22"/>
    </row>
    <row r="476" spans="2:65">
      <c r="B476" s="20"/>
      <c r="D476" s="19"/>
      <c r="E476" s="22"/>
      <c r="F476" s="22"/>
      <c r="G476" s="22"/>
      <c r="H476" s="22"/>
      <c r="I476" s="23"/>
      <c r="J476" s="24"/>
      <c r="K476" s="23"/>
      <c r="L476" s="24"/>
      <c r="M476" s="23"/>
      <c r="N476" s="24"/>
      <c r="O476" s="23"/>
      <c r="P476" s="24"/>
      <c r="Q476" s="23"/>
      <c r="R476" s="23"/>
      <c r="S476" s="23"/>
      <c r="T476" s="23"/>
      <c r="U476" s="23"/>
      <c r="V476" s="23"/>
      <c r="W476" s="23"/>
      <c r="X476" s="23"/>
      <c r="AO476" s="34"/>
      <c r="AP476" s="22"/>
      <c r="AQ476" s="22"/>
      <c r="AR476" s="22"/>
      <c r="AS476" s="34"/>
      <c r="AT476" s="34"/>
      <c r="AV476" s="34"/>
      <c r="AX476" s="35"/>
      <c r="AY476" s="35"/>
      <c r="AZ476" s="35"/>
      <c r="BA476" s="22"/>
      <c r="BB476" s="22"/>
      <c r="BC476" s="23"/>
      <c r="BD476" s="22"/>
      <c r="BE476" s="22"/>
      <c r="BF476" s="22"/>
      <c r="BG476" s="22"/>
      <c r="BH476" s="22"/>
      <c r="BI476" s="22"/>
      <c r="BJ476" s="22"/>
      <c r="BK476" s="22"/>
      <c r="BL476" s="22"/>
      <c r="BM476" s="22"/>
    </row>
    <row r="477" spans="2:65">
      <c r="B477" s="20"/>
      <c r="D477" s="19"/>
      <c r="E477" s="22"/>
      <c r="F477" s="22"/>
      <c r="G477" s="22"/>
      <c r="H477" s="22"/>
      <c r="I477" s="23"/>
      <c r="J477" s="24"/>
      <c r="K477" s="23"/>
      <c r="L477" s="24"/>
      <c r="M477" s="23"/>
      <c r="N477" s="24"/>
      <c r="O477" s="23"/>
      <c r="P477" s="24"/>
      <c r="Q477" s="23"/>
      <c r="R477" s="23"/>
      <c r="S477" s="23"/>
      <c r="T477" s="23"/>
      <c r="U477" s="23"/>
      <c r="V477" s="23"/>
      <c r="W477" s="23"/>
      <c r="X477" s="23"/>
      <c r="AO477" s="34"/>
      <c r="AP477" s="22"/>
      <c r="AQ477" s="22"/>
      <c r="AR477" s="22"/>
      <c r="AS477" s="34"/>
      <c r="AT477" s="34"/>
      <c r="AV477" s="34"/>
      <c r="AX477" s="35"/>
      <c r="AY477" s="35"/>
      <c r="AZ477" s="35"/>
      <c r="BA477" s="22"/>
      <c r="BB477" s="22"/>
      <c r="BC477" s="23"/>
      <c r="BD477" s="22"/>
      <c r="BE477" s="22"/>
      <c r="BF477" s="22"/>
      <c r="BG477" s="22"/>
      <c r="BH477" s="22"/>
      <c r="BI477" s="22"/>
      <c r="BJ477" s="22"/>
      <c r="BK477" s="22"/>
      <c r="BL477" s="22"/>
      <c r="BM477" s="22"/>
    </row>
    <row r="478" spans="2:65">
      <c r="B478" s="20"/>
      <c r="D478" s="19"/>
      <c r="E478" s="22"/>
      <c r="F478" s="22"/>
      <c r="G478" s="22"/>
      <c r="H478" s="22"/>
      <c r="I478" s="23"/>
      <c r="J478" s="24"/>
      <c r="K478" s="23"/>
      <c r="L478" s="24"/>
      <c r="M478" s="23"/>
      <c r="N478" s="24"/>
      <c r="O478" s="23"/>
      <c r="P478" s="24"/>
      <c r="Q478" s="23"/>
      <c r="R478" s="23"/>
      <c r="S478" s="23"/>
      <c r="T478" s="23"/>
      <c r="U478" s="23"/>
      <c r="V478" s="23"/>
      <c r="W478" s="23"/>
      <c r="X478" s="23"/>
      <c r="AO478" s="34"/>
      <c r="AP478" s="22"/>
      <c r="AQ478" s="22"/>
      <c r="AR478" s="22"/>
      <c r="AS478" s="34"/>
      <c r="AT478" s="34"/>
      <c r="AV478" s="34"/>
      <c r="AX478" s="35"/>
      <c r="AY478" s="35"/>
      <c r="AZ478" s="35"/>
      <c r="BA478" s="22"/>
      <c r="BB478" s="22"/>
      <c r="BC478" s="23"/>
      <c r="BD478" s="22"/>
      <c r="BE478" s="22"/>
      <c r="BF478" s="22"/>
      <c r="BG478" s="22"/>
      <c r="BH478" s="22"/>
      <c r="BI478" s="22"/>
      <c r="BJ478" s="22"/>
      <c r="BK478" s="22"/>
      <c r="BL478" s="22"/>
      <c r="BM478" s="22"/>
    </row>
    <row r="479" spans="2:65">
      <c r="B479" s="20"/>
      <c r="D479" s="19"/>
      <c r="E479" s="22"/>
      <c r="F479" s="22"/>
      <c r="G479" s="22"/>
      <c r="H479" s="22"/>
      <c r="I479" s="23"/>
      <c r="J479" s="24"/>
      <c r="K479" s="23"/>
      <c r="L479" s="24"/>
      <c r="M479" s="23"/>
      <c r="N479" s="24"/>
      <c r="O479" s="23"/>
      <c r="P479" s="24"/>
      <c r="Q479" s="23"/>
      <c r="R479" s="23"/>
      <c r="S479" s="23"/>
      <c r="T479" s="23"/>
      <c r="U479" s="23"/>
      <c r="V479" s="23"/>
      <c r="W479" s="23"/>
      <c r="X479" s="23"/>
      <c r="AO479" s="34"/>
      <c r="AP479" s="22"/>
      <c r="AQ479" s="22"/>
      <c r="AR479" s="22"/>
      <c r="AS479" s="34"/>
      <c r="AT479" s="34"/>
      <c r="AV479" s="34"/>
      <c r="AX479" s="35"/>
      <c r="AY479" s="35"/>
      <c r="AZ479" s="35"/>
      <c r="BA479" s="22"/>
      <c r="BB479" s="22"/>
      <c r="BC479" s="23"/>
      <c r="BD479" s="22"/>
      <c r="BE479" s="22"/>
      <c r="BF479" s="22"/>
      <c r="BG479" s="22"/>
      <c r="BH479" s="22"/>
      <c r="BI479" s="22"/>
      <c r="BJ479" s="22"/>
      <c r="BK479" s="22"/>
      <c r="BL479" s="22"/>
      <c r="BM479" s="22"/>
    </row>
    <row r="480" spans="2:65">
      <c r="B480" s="20"/>
      <c r="D480" s="19"/>
      <c r="E480" s="22"/>
      <c r="F480" s="22"/>
      <c r="G480" s="22"/>
      <c r="H480" s="22"/>
      <c r="I480" s="23"/>
      <c r="J480" s="24"/>
      <c r="K480" s="23"/>
      <c r="L480" s="24"/>
      <c r="M480" s="23"/>
      <c r="N480" s="24"/>
      <c r="O480" s="23"/>
      <c r="P480" s="24"/>
      <c r="Q480" s="23"/>
      <c r="R480" s="23"/>
      <c r="S480" s="23"/>
      <c r="T480" s="23"/>
      <c r="U480" s="23"/>
      <c r="V480" s="23"/>
      <c r="W480" s="23"/>
      <c r="X480" s="23"/>
      <c r="AO480" s="34"/>
      <c r="AP480" s="22"/>
      <c r="AQ480" s="22"/>
      <c r="AR480" s="22"/>
      <c r="AS480" s="34"/>
      <c r="AT480" s="34"/>
      <c r="AV480" s="34"/>
      <c r="AX480" s="35"/>
      <c r="AY480" s="35"/>
      <c r="AZ480" s="35"/>
      <c r="BA480" s="22"/>
      <c r="BB480" s="22"/>
      <c r="BC480" s="23"/>
      <c r="BD480" s="22"/>
      <c r="BE480" s="22"/>
      <c r="BF480" s="22"/>
      <c r="BG480" s="22"/>
      <c r="BH480" s="22"/>
      <c r="BI480" s="22"/>
      <c r="BJ480" s="22"/>
      <c r="BK480" s="22"/>
      <c r="BL480" s="22"/>
      <c r="BM480" s="22"/>
    </row>
    <row r="481" spans="2:65">
      <c r="B481" s="20"/>
      <c r="D481" s="19"/>
      <c r="E481" s="22"/>
      <c r="F481" s="22"/>
      <c r="G481" s="22"/>
      <c r="H481" s="22"/>
      <c r="I481" s="23"/>
      <c r="J481" s="24"/>
      <c r="K481" s="23"/>
      <c r="L481" s="24"/>
      <c r="M481" s="23"/>
      <c r="N481" s="24"/>
      <c r="O481" s="23"/>
      <c r="P481" s="24"/>
      <c r="Q481" s="23"/>
      <c r="R481" s="23"/>
      <c r="S481" s="23"/>
      <c r="T481" s="23"/>
      <c r="U481" s="23"/>
      <c r="V481" s="23"/>
      <c r="W481" s="23"/>
      <c r="X481" s="23"/>
      <c r="AO481" s="34"/>
      <c r="AP481" s="22"/>
      <c r="AQ481" s="22"/>
      <c r="AR481" s="22"/>
      <c r="AS481" s="34"/>
      <c r="AT481" s="34"/>
      <c r="AV481" s="34"/>
      <c r="AX481" s="35"/>
      <c r="AY481" s="35"/>
      <c r="AZ481" s="35"/>
      <c r="BA481" s="22"/>
      <c r="BB481" s="22"/>
      <c r="BC481" s="23"/>
      <c r="BD481" s="22"/>
      <c r="BE481" s="22"/>
      <c r="BF481" s="22"/>
      <c r="BG481" s="22"/>
      <c r="BH481" s="22"/>
      <c r="BI481" s="22"/>
      <c r="BJ481" s="22"/>
      <c r="BK481" s="22"/>
      <c r="BL481" s="22"/>
      <c r="BM481" s="22"/>
    </row>
    <row r="482" spans="2:65">
      <c r="B482" s="20"/>
      <c r="D482" s="19"/>
      <c r="E482" s="22"/>
      <c r="F482" s="22"/>
      <c r="G482" s="22"/>
      <c r="H482" s="22"/>
      <c r="I482" s="23"/>
      <c r="J482" s="24"/>
      <c r="K482" s="23"/>
      <c r="L482" s="24"/>
      <c r="M482" s="23"/>
      <c r="N482" s="24"/>
      <c r="O482" s="23"/>
      <c r="P482" s="24"/>
      <c r="Q482" s="23"/>
      <c r="R482" s="23"/>
      <c r="S482" s="23"/>
      <c r="T482" s="23"/>
      <c r="U482" s="23"/>
      <c r="V482" s="23"/>
      <c r="W482" s="23"/>
      <c r="X482" s="23"/>
      <c r="AO482" s="34"/>
      <c r="AP482" s="22"/>
      <c r="AQ482" s="22"/>
      <c r="AR482" s="22"/>
      <c r="AS482" s="34"/>
      <c r="AT482" s="34"/>
      <c r="AV482" s="34"/>
      <c r="AX482" s="35"/>
      <c r="AY482" s="35"/>
      <c r="AZ482" s="35"/>
      <c r="BA482" s="22"/>
      <c r="BB482" s="22"/>
      <c r="BC482" s="23"/>
      <c r="BD482" s="22"/>
      <c r="BE482" s="22"/>
      <c r="BF482" s="22"/>
      <c r="BG482" s="22"/>
      <c r="BH482" s="22"/>
      <c r="BI482" s="22"/>
      <c r="BJ482" s="22"/>
      <c r="BK482" s="22"/>
      <c r="BL482" s="22"/>
      <c r="BM482" s="22"/>
    </row>
    <row r="483" spans="2:65">
      <c r="B483" s="20"/>
      <c r="D483" s="19"/>
      <c r="E483" s="22"/>
      <c r="F483" s="22"/>
      <c r="G483" s="22"/>
      <c r="H483" s="22"/>
      <c r="I483" s="23"/>
      <c r="J483" s="24"/>
      <c r="K483" s="23"/>
      <c r="L483" s="24"/>
      <c r="M483" s="23"/>
      <c r="N483" s="24"/>
      <c r="O483" s="23"/>
      <c r="P483" s="24"/>
      <c r="Q483" s="23"/>
      <c r="R483" s="23"/>
      <c r="S483" s="23"/>
      <c r="T483" s="23"/>
      <c r="U483" s="23"/>
      <c r="V483" s="23"/>
      <c r="W483" s="23"/>
      <c r="X483" s="23"/>
      <c r="AO483" s="34"/>
      <c r="AP483" s="22"/>
      <c r="AQ483" s="22"/>
      <c r="AR483" s="22"/>
      <c r="AS483" s="34"/>
      <c r="AT483" s="34"/>
      <c r="AV483" s="34"/>
      <c r="AX483" s="35"/>
      <c r="AY483" s="35"/>
      <c r="AZ483" s="35"/>
      <c r="BA483" s="22"/>
      <c r="BB483" s="22"/>
      <c r="BC483" s="23"/>
      <c r="BD483" s="22"/>
      <c r="BE483" s="22"/>
      <c r="BF483" s="22"/>
      <c r="BG483" s="22"/>
      <c r="BH483" s="22"/>
      <c r="BI483" s="22"/>
      <c r="BJ483" s="22"/>
      <c r="BK483" s="22"/>
      <c r="BL483" s="22"/>
      <c r="BM483" s="22"/>
    </row>
    <row r="484" spans="2:65">
      <c r="B484" s="20"/>
      <c r="D484" s="19"/>
      <c r="E484" s="22"/>
      <c r="F484" s="22"/>
      <c r="G484" s="22"/>
      <c r="H484" s="22"/>
      <c r="I484" s="23"/>
      <c r="J484" s="24"/>
      <c r="K484" s="23"/>
      <c r="L484" s="24"/>
      <c r="M484" s="23"/>
      <c r="N484" s="24"/>
      <c r="O484" s="23"/>
      <c r="P484" s="24"/>
      <c r="Q484" s="23"/>
      <c r="R484" s="23"/>
      <c r="S484" s="23"/>
      <c r="T484" s="23"/>
      <c r="U484" s="23"/>
      <c r="V484" s="23"/>
      <c r="W484" s="23"/>
      <c r="X484" s="23"/>
      <c r="AO484" s="34"/>
      <c r="AP484" s="22"/>
      <c r="AQ484" s="22"/>
      <c r="AR484" s="22"/>
      <c r="AS484" s="34"/>
      <c r="AT484" s="34"/>
      <c r="AV484" s="34"/>
      <c r="AX484" s="35"/>
      <c r="AY484" s="35"/>
      <c r="AZ484" s="35"/>
      <c r="BA484" s="22"/>
      <c r="BB484" s="22"/>
      <c r="BC484" s="23"/>
      <c r="BD484" s="22"/>
      <c r="BE484" s="22"/>
      <c r="BF484" s="22"/>
      <c r="BG484" s="22"/>
      <c r="BH484" s="22"/>
      <c r="BI484" s="22"/>
      <c r="BJ484" s="22"/>
      <c r="BK484" s="22"/>
      <c r="BL484" s="22"/>
      <c r="BM484" s="22"/>
    </row>
    <row r="485" spans="2:65">
      <c r="B485" s="20"/>
      <c r="D485" s="19"/>
      <c r="E485" s="22"/>
      <c r="F485" s="22"/>
      <c r="G485" s="22"/>
      <c r="H485" s="22"/>
      <c r="I485" s="23"/>
      <c r="J485" s="24"/>
      <c r="K485" s="23"/>
      <c r="L485" s="24"/>
      <c r="M485" s="23"/>
      <c r="N485" s="24"/>
      <c r="O485" s="23"/>
      <c r="P485" s="24"/>
      <c r="Q485" s="23"/>
      <c r="R485" s="23"/>
      <c r="S485" s="23"/>
      <c r="T485" s="23"/>
      <c r="U485" s="23"/>
      <c r="V485" s="23"/>
      <c r="W485" s="23"/>
      <c r="X485" s="23"/>
      <c r="AO485" s="34"/>
      <c r="AP485" s="22"/>
      <c r="AQ485" s="22"/>
      <c r="AR485" s="22"/>
      <c r="AS485" s="34"/>
      <c r="AT485" s="34"/>
      <c r="AV485" s="34"/>
      <c r="AX485" s="35"/>
      <c r="AY485" s="35"/>
      <c r="AZ485" s="35"/>
      <c r="BA485" s="22"/>
      <c r="BB485" s="22"/>
      <c r="BC485" s="23"/>
      <c r="BD485" s="22"/>
      <c r="BE485" s="22"/>
      <c r="BF485" s="22"/>
      <c r="BG485" s="22"/>
      <c r="BH485" s="22"/>
      <c r="BI485" s="22"/>
      <c r="BJ485" s="22"/>
      <c r="BK485" s="22"/>
      <c r="BL485" s="22"/>
      <c r="BM485" s="22"/>
    </row>
    <row r="486" spans="2:65">
      <c r="B486" s="20"/>
      <c r="D486" s="19"/>
      <c r="E486" s="22"/>
      <c r="F486" s="22"/>
      <c r="G486" s="22"/>
      <c r="H486" s="22"/>
      <c r="I486" s="23"/>
      <c r="J486" s="24"/>
      <c r="K486" s="23"/>
      <c r="L486" s="24"/>
      <c r="M486" s="23"/>
      <c r="N486" s="24"/>
      <c r="O486" s="23"/>
      <c r="P486" s="24"/>
      <c r="Q486" s="23"/>
      <c r="R486" s="23"/>
      <c r="S486" s="23"/>
      <c r="T486" s="23"/>
      <c r="U486" s="23"/>
      <c r="V486" s="23"/>
      <c r="W486" s="23"/>
      <c r="X486" s="23"/>
      <c r="AO486" s="34"/>
      <c r="AP486" s="22"/>
      <c r="AQ486" s="22"/>
      <c r="AR486" s="22"/>
      <c r="AS486" s="34"/>
      <c r="AT486" s="34"/>
      <c r="AV486" s="34"/>
      <c r="AX486" s="35"/>
      <c r="AY486" s="35"/>
      <c r="AZ486" s="35"/>
      <c r="BA486" s="22"/>
      <c r="BB486" s="22"/>
      <c r="BC486" s="23"/>
      <c r="BD486" s="22"/>
      <c r="BE486" s="22"/>
      <c r="BF486" s="22"/>
      <c r="BG486" s="22"/>
      <c r="BH486" s="22"/>
      <c r="BI486" s="22"/>
      <c r="BJ486" s="22"/>
      <c r="BK486" s="22"/>
      <c r="BL486" s="22"/>
      <c r="BM486" s="22"/>
    </row>
    <row r="487" spans="2:65">
      <c r="B487" s="20"/>
      <c r="D487" s="19"/>
      <c r="E487" s="22"/>
      <c r="F487" s="22"/>
      <c r="G487" s="22"/>
      <c r="H487" s="22"/>
      <c r="I487" s="23"/>
      <c r="J487" s="24"/>
      <c r="K487" s="23"/>
      <c r="L487" s="24"/>
      <c r="M487" s="23"/>
      <c r="N487" s="24"/>
      <c r="O487" s="23"/>
      <c r="P487" s="24"/>
      <c r="Q487" s="23"/>
      <c r="R487" s="23"/>
      <c r="S487" s="23"/>
      <c r="T487" s="23"/>
      <c r="U487" s="23"/>
      <c r="V487" s="23"/>
      <c r="W487" s="23"/>
      <c r="X487" s="23"/>
      <c r="AO487" s="34"/>
      <c r="AP487" s="22"/>
      <c r="AQ487" s="22"/>
      <c r="AR487" s="22"/>
      <c r="AS487" s="34"/>
      <c r="AT487" s="34"/>
      <c r="AV487" s="34"/>
      <c r="AX487" s="35"/>
      <c r="AY487" s="35"/>
      <c r="AZ487" s="35"/>
      <c r="BA487" s="22"/>
      <c r="BB487" s="22"/>
      <c r="BC487" s="23"/>
      <c r="BD487" s="22"/>
      <c r="BE487" s="22"/>
      <c r="BF487" s="22"/>
      <c r="BG487" s="22"/>
      <c r="BH487" s="22"/>
      <c r="BI487" s="22"/>
      <c r="BJ487" s="22"/>
      <c r="BK487" s="22"/>
      <c r="BL487" s="22"/>
      <c r="BM487" s="22"/>
    </row>
    <row r="488" spans="2:65">
      <c r="B488" s="20"/>
      <c r="D488" s="19"/>
      <c r="E488" s="22"/>
      <c r="F488" s="22"/>
      <c r="G488" s="22"/>
      <c r="H488" s="22"/>
      <c r="I488" s="23"/>
      <c r="J488" s="24"/>
      <c r="K488" s="23"/>
      <c r="L488" s="24"/>
      <c r="M488" s="23"/>
      <c r="N488" s="24"/>
      <c r="O488" s="23"/>
      <c r="P488" s="24"/>
      <c r="Q488" s="23"/>
      <c r="R488" s="23"/>
      <c r="S488" s="23"/>
      <c r="T488" s="23"/>
      <c r="U488" s="23"/>
      <c r="V488" s="23"/>
      <c r="W488" s="23"/>
      <c r="X488" s="23"/>
      <c r="AO488" s="34"/>
      <c r="AP488" s="22"/>
      <c r="AQ488" s="22"/>
      <c r="AR488" s="22"/>
      <c r="AS488" s="34"/>
      <c r="AT488" s="34"/>
      <c r="AV488" s="34"/>
      <c r="AX488" s="35"/>
      <c r="AY488" s="35"/>
      <c r="AZ488" s="35"/>
      <c r="BA488" s="22"/>
      <c r="BB488" s="22"/>
      <c r="BC488" s="23"/>
      <c r="BD488" s="22"/>
      <c r="BE488" s="22"/>
      <c r="BF488" s="22"/>
      <c r="BG488" s="22"/>
      <c r="BH488" s="22"/>
      <c r="BI488" s="22"/>
      <c r="BJ488" s="22"/>
      <c r="BK488" s="22"/>
      <c r="BL488" s="22"/>
      <c r="BM488" s="22"/>
    </row>
    <row r="489" spans="2:65">
      <c r="B489" s="20"/>
      <c r="D489" s="19"/>
      <c r="E489" s="22"/>
      <c r="F489" s="22"/>
      <c r="G489" s="22"/>
      <c r="H489" s="22"/>
      <c r="I489" s="23"/>
      <c r="J489" s="24"/>
      <c r="K489" s="23"/>
      <c r="L489" s="24"/>
      <c r="M489" s="23"/>
      <c r="N489" s="24"/>
      <c r="O489" s="23"/>
      <c r="P489" s="24"/>
      <c r="Q489" s="23"/>
      <c r="R489" s="23"/>
      <c r="S489" s="23"/>
      <c r="T489" s="23"/>
      <c r="U489" s="23"/>
      <c r="V489" s="23"/>
      <c r="W489" s="23"/>
      <c r="X489" s="23"/>
      <c r="AO489" s="34"/>
      <c r="AP489" s="22"/>
      <c r="AQ489" s="22"/>
      <c r="AR489" s="22"/>
      <c r="AS489" s="34"/>
      <c r="AT489" s="34"/>
      <c r="AV489" s="34"/>
      <c r="AX489" s="35"/>
      <c r="AY489" s="35"/>
      <c r="AZ489" s="35"/>
      <c r="BA489" s="22"/>
      <c r="BB489" s="22"/>
      <c r="BC489" s="23"/>
      <c r="BD489" s="22"/>
      <c r="BE489" s="22"/>
      <c r="BF489" s="22"/>
      <c r="BG489" s="22"/>
      <c r="BH489" s="22"/>
      <c r="BI489" s="22"/>
      <c r="BJ489" s="22"/>
      <c r="BK489" s="22"/>
      <c r="BL489" s="22"/>
      <c r="BM489" s="22"/>
    </row>
    <row r="490" spans="2:65">
      <c r="B490" s="20"/>
      <c r="D490" s="19"/>
      <c r="E490" s="22"/>
      <c r="F490" s="22"/>
      <c r="G490" s="22"/>
      <c r="H490" s="22"/>
      <c r="I490" s="23"/>
      <c r="J490" s="24"/>
      <c r="K490" s="23"/>
      <c r="L490" s="24"/>
      <c r="M490" s="23"/>
      <c r="N490" s="24"/>
      <c r="O490" s="23"/>
      <c r="P490" s="24"/>
      <c r="Q490" s="23"/>
      <c r="R490" s="23"/>
      <c r="S490" s="23"/>
      <c r="T490" s="23"/>
      <c r="U490" s="23"/>
      <c r="V490" s="23"/>
      <c r="W490" s="23"/>
      <c r="X490" s="23"/>
      <c r="AO490" s="34"/>
      <c r="AP490" s="22"/>
      <c r="AQ490" s="22"/>
      <c r="AR490" s="22"/>
      <c r="AS490" s="34"/>
      <c r="AT490" s="34"/>
      <c r="AV490" s="34"/>
      <c r="AX490" s="35"/>
      <c r="AY490" s="35"/>
      <c r="AZ490" s="35"/>
      <c r="BA490" s="22"/>
      <c r="BB490" s="22"/>
      <c r="BC490" s="23"/>
      <c r="BD490" s="22"/>
      <c r="BE490" s="22"/>
      <c r="BF490" s="22"/>
      <c r="BG490" s="22"/>
      <c r="BH490" s="22"/>
      <c r="BI490" s="22"/>
      <c r="BJ490" s="22"/>
      <c r="BK490" s="22"/>
      <c r="BL490" s="22"/>
      <c r="BM490" s="22"/>
    </row>
    <row r="491" spans="2:65">
      <c r="B491" s="20"/>
      <c r="D491" s="19"/>
      <c r="E491" s="22"/>
      <c r="F491" s="22"/>
      <c r="G491" s="22"/>
      <c r="H491" s="22"/>
      <c r="I491" s="23"/>
      <c r="J491" s="24"/>
      <c r="K491" s="23"/>
      <c r="L491" s="24"/>
      <c r="M491" s="23"/>
      <c r="N491" s="24"/>
      <c r="O491" s="23"/>
      <c r="P491" s="24"/>
      <c r="Q491" s="23"/>
      <c r="R491" s="23"/>
      <c r="S491" s="23"/>
      <c r="T491" s="23"/>
      <c r="U491" s="23"/>
      <c r="V491" s="23"/>
      <c r="W491" s="23"/>
      <c r="X491" s="23"/>
      <c r="AO491" s="34"/>
      <c r="AP491" s="22"/>
      <c r="AQ491" s="22"/>
      <c r="AR491" s="22"/>
      <c r="AS491" s="34"/>
      <c r="AT491" s="34"/>
      <c r="AV491" s="34"/>
      <c r="AX491" s="35"/>
      <c r="AY491" s="35"/>
      <c r="AZ491" s="35"/>
      <c r="BA491" s="22"/>
      <c r="BB491" s="22"/>
      <c r="BC491" s="23"/>
      <c r="BD491" s="22"/>
      <c r="BE491" s="22"/>
      <c r="BF491" s="22"/>
      <c r="BG491" s="22"/>
      <c r="BH491" s="22"/>
      <c r="BI491" s="22"/>
      <c r="BJ491" s="22"/>
      <c r="BK491" s="22"/>
      <c r="BL491" s="22"/>
      <c r="BM491" s="22"/>
    </row>
    <row r="492" spans="2:65">
      <c r="B492" s="20"/>
      <c r="D492" s="19"/>
      <c r="E492" s="22"/>
      <c r="F492" s="22"/>
      <c r="G492" s="22"/>
      <c r="H492" s="22"/>
      <c r="I492" s="23"/>
      <c r="J492" s="24"/>
      <c r="K492" s="23"/>
      <c r="L492" s="24"/>
      <c r="M492" s="23"/>
      <c r="N492" s="24"/>
      <c r="O492" s="23"/>
      <c r="P492" s="24"/>
      <c r="Q492" s="23"/>
      <c r="R492" s="23"/>
      <c r="S492" s="23"/>
      <c r="T492" s="23"/>
      <c r="U492" s="23"/>
      <c r="V492" s="23"/>
      <c r="W492" s="23"/>
      <c r="X492" s="23"/>
      <c r="AO492" s="34"/>
      <c r="AP492" s="22"/>
      <c r="AQ492" s="22"/>
      <c r="AR492" s="22"/>
      <c r="AS492" s="34"/>
      <c r="AT492" s="34"/>
      <c r="AV492" s="34"/>
      <c r="AX492" s="35"/>
      <c r="AY492" s="35"/>
      <c r="AZ492" s="35"/>
      <c r="BA492" s="22"/>
      <c r="BB492" s="22"/>
      <c r="BC492" s="23"/>
      <c r="BD492" s="22"/>
      <c r="BE492" s="22"/>
      <c r="BF492" s="22"/>
      <c r="BG492" s="22"/>
      <c r="BH492" s="22"/>
      <c r="BI492" s="22"/>
      <c r="BJ492" s="22"/>
      <c r="BK492" s="22"/>
      <c r="BL492" s="22"/>
      <c r="BM492" s="22"/>
    </row>
    <row r="493" spans="2:65">
      <c r="B493" s="20"/>
      <c r="D493" s="19"/>
      <c r="E493" s="22"/>
      <c r="F493" s="22"/>
      <c r="G493" s="22"/>
      <c r="H493" s="22"/>
      <c r="I493" s="23"/>
      <c r="J493" s="24"/>
      <c r="K493" s="23"/>
      <c r="L493" s="24"/>
      <c r="M493" s="23"/>
      <c r="N493" s="24"/>
      <c r="O493" s="23"/>
      <c r="P493" s="24"/>
      <c r="Q493" s="23"/>
      <c r="R493" s="23"/>
      <c r="S493" s="23"/>
      <c r="T493" s="23"/>
      <c r="U493" s="23"/>
      <c r="V493" s="23"/>
      <c r="W493" s="23"/>
      <c r="X493" s="23"/>
      <c r="AO493" s="34"/>
      <c r="AP493" s="22"/>
      <c r="AQ493" s="22"/>
      <c r="AR493" s="22"/>
      <c r="AS493" s="34"/>
      <c r="AT493" s="34"/>
      <c r="AV493" s="34"/>
      <c r="AX493" s="35"/>
      <c r="AY493" s="35"/>
      <c r="AZ493" s="35"/>
      <c r="BA493" s="22"/>
      <c r="BB493" s="22"/>
      <c r="BC493" s="23"/>
      <c r="BD493" s="22"/>
      <c r="BE493" s="22"/>
      <c r="BF493" s="22"/>
      <c r="BG493" s="22"/>
      <c r="BH493" s="22"/>
      <c r="BI493" s="22"/>
      <c r="BJ493" s="22"/>
      <c r="BK493" s="22"/>
      <c r="BL493" s="22"/>
      <c r="BM493" s="22"/>
    </row>
    <row r="494" spans="2:65">
      <c r="B494" s="20"/>
      <c r="D494" s="19"/>
      <c r="E494" s="22"/>
      <c r="F494" s="22"/>
      <c r="G494" s="22"/>
      <c r="H494" s="22"/>
      <c r="I494" s="23"/>
      <c r="J494" s="24"/>
      <c r="K494" s="23"/>
      <c r="L494" s="24"/>
      <c r="M494" s="23"/>
      <c r="N494" s="24"/>
      <c r="O494" s="23"/>
      <c r="P494" s="24"/>
      <c r="Q494" s="23"/>
      <c r="R494" s="23"/>
      <c r="S494" s="23"/>
      <c r="T494" s="23"/>
      <c r="U494" s="23"/>
      <c r="V494" s="23"/>
      <c r="W494" s="23"/>
      <c r="X494" s="23"/>
      <c r="AO494" s="34"/>
      <c r="AP494" s="22"/>
      <c r="AQ494" s="22"/>
      <c r="AR494" s="22"/>
      <c r="AS494" s="34"/>
      <c r="AT494" s="34"/>
      <c r="AV494" s="34"/>
      <c r="AX494" s="35"/>
      <c r="AY494" s="35"/>
      <c r="AZ494" s="35"/>
      <c r="BA494" s="22"/>
      <c r="BB494" s="22"/>
      <c r="BC494" s="23"/>
      <c r="BD494" s="22"/>
      <c r="BE494" s="22"/>
      <c r="BF494" s="22"/>
      <c r="BG494" s="22"/>
      <c r="BH494" s="22"/>
      <c r="BI494" s="22"/>
      <c r="BJ494" s="22"/>
      <c r="BK494" s="22"/>
      <c r="BL494" s="22"/>
      <c r="BM494" s="22"/>
    </row>
    <row r="495" spans="2:65">
      <c r="B495" s="20"/>
      <c r="D495" s="19"/>
      <c r="E495" s="22"/>
      <c r="F495" s="22"/>
      <c r="G495" s="22"/>
      <c r="H495" s="22"/>
      <c r="I495" s="23"/>
      <c r="J495" s="24"/>
      <c r="K495" s="23"/>
      <c r="L495" s="24"/>
      <c r="M495" s="23"/>
      <c r="N495" s="24"/>
      <c r="O495" s="23"/>
      <c r="P495" s="24"/>
      <c r="Q495" s="23"/>
      <c r="R495" s="23"/>
      <c r="S495" s="23"/>
      <c r="T495" s="23"/>
      <c r="U495" s="23"/>
      <c r="V495" s="23"/>
      <c r="W495" s="23"/>
      <c r="X495" s="23"/>
      <c r="AO495" s="34"/>
      <c r="AP495" s="22"/>
      <c r="AQ495" s="22"/>
      <c r="AR495" s="22"/>
      <c r="AS495" s="34"/>
      <c r="AT495" s="34"/>
      <c r="AV495" s="34"/>
      <c r="AX495" s="35"/>
      <c r="AY495" s="35"/>
      <c r="AZ495" s="35"/>
      <c r="BA495" s="22"/>
      <c r="BB495" s="22"/>
      <c r="BC495" s="23"/>
      <c r="BD495" s="22"/>
      <c r="BE495" s="22"/>
      <c r="BF495" s="22"/>
      <c r="BG495" s="22"/>
      <c r="BH495" s="22"/>
      <c r="BI495" s="22"/>
      <c r="BJ495" s="22"/>
      <c r="BK495" s="22"/>
      <c r="BL495" s="22"/>
      <c r="BM495" s="22"/>
    </row>
    <row r="496" spans="2:65">
      <c r="B496" s="20"/>
      <c r="D496" s="19"/>
      <c r="E496" s="22"/>
      <c r="F496" s="22"/>
      <c r="G496" s="22"/>
      <c r="H496" s="22"/>
      <c r="I496" s="23"/>
      <c r="J496" s="24"/>
      <c r="K496" s="23"/>
      <c r="L496" s="24"/>
      <c r="M496" s="23"/>
      <c r="N496" s="24"/>
      <c r="O496" s="23"/>
      <c r="P496" s="24"/>
      <c r="Q496" s="23"/>
      <c r="R496" s="23"/>
      <c r="S496" s="23"/>
      <c r="T496" s="23"/>
      <c r="U496" s="23"/>
      <c r="V496" s="23"/>
      <c r="W496" s="23"/>
      <c r="X496" s="23"/>
      <c r="AO496" s="34"/>
      <c r="AP496" s="22"/>
      <c r="AQ496" s="22"/>
      <c r="AR496" s="22"/>
      <c r="AS496" s="34"/>
      <c r="AT496" s="34"/>
      <c r="AV496" s="34"/>
      <c r="AX496" s="35"/>
      <c r="AY496" s="35"/>
      <c r="AZ496" s="35"/>
      <c r="BA496" s="22"/>
      <c r="BB496" s="22"/>
      <c r="BC496" s="23"/>
      <c r="BD496" s="22"/>
      <c r="BE496" s="22"/>
      <c r="BF496" s="22"/>
      <c r="BG496" s="22"/>
      <c r="BH496" s="22"/>
      <c r="BI496" s="22"/>
      <c r="BJ496" s="22"/>
      <c r="BK496" s="22"/>
      <c r="BL496" s="22"/>
      <c r="BM496" s="22"/>
    </row>
    <row r="497" spans="2:65">
      <c r="B497" s="20"/>
      <c r="D497" s="19"/>
      <c r="E497" s="22"/>
      <c r="F497" s="22"/>
      <c r="G497" s="22"/>
      <c r="H497" s="22"/>
      <c r="I497" s="23"/>
      <c r="J497" s="24"/>
      <c r="K497" s="23"/>
      <c r="L497" s="24"/>
      <c r="M497" s="23"/>
      <c r="N497" s="24"/>
      <c r="O497" s="23"/>
      <c r="P497" s="24"/>
      <c r="Q497" s="23"/>
      <c r="R497" s="23"/>
      <c r="S497" s="23"/>
      <c r="T497" s="23"/>
      <c r="U497" s="23"/>
      <c r="V497" s="23"/>
      <c r="W497" s="23"/>
      <c r="X497" s="23"/>
      <c r="AO497" s="34"/>
      <c r="AP497" s="22"/>
      <c r="AQ497" s="22"/>
      <c r="AR497" s="22"/>
      <c r="AS497" s="34"/>
      <c r="AT497" s="34"/>
      <c r="AV497" s="34"/>
      <c r="AX497" s="35"/>
      <c r="AY497" s="35"/>
      <c r="AZ497" s="35"/>
      <c r="BA497" s="22"/>
      <c r="BB497" s="22"/>
      <c r="BC497" s="23"/>
      <c r="BD497" s="22"/>
      <c r="BE497" s="22"/>
      <c r="BF497" s="22"/>
      <c r="BG497" s="22"/>
      <c r="BH497" s="22"/>
      <c r="BI497" s="22"/>
      <c r="BJ497" s="22"/>
      <c r="BK497" s="22"/>
      <c r="BL497" s="22"/>
      <c r="BM497" s="22"/>
    </row>
    <row r="498" spans="2:65">
      <c r="B498" s="20"/>
      <c r="D498" s="19"/>
      <c r="E498" s="22"/>
      <c r="F498" s="22"/>
      <c r="G498" s="22"/>
      <c r="H498" s="22"/>
      <c r="I498" s="23"/>
      <c r="J498" s="24"/>
      <c r="K498" s="23"/>
      <c r="L498" s="24"/>
      <c r="M498" s="23"/>
      <c r="N498" s="24"/>
      <c r="O498" s="23"/>
      <c r="P498" s="24"/>
      <c r="Q498" s="23"/>
      <c r="R498" s="23"/>
      <c r="S498" s="23"/>
      <c r="T498" s="23"/>
      <c r="U498" s="23"/>
      <c r="V498" s="23"/>
      <c r="W498" s="23"/>
      <c r="X498" s="23"/>
      <c r="AO498" s="34"/>
      <c r="AP498" s="22"/>
      <c r="AQ498" s="22"/>
      <c r="AR498" s="22"/>
      <c r="AS498" s="34"/>
      <c r="AT498" s="34"/>
      <c r="AV498" s="34"/>
      <c r="AX498" s="35"/>
      <c r="AY498" s="35"/>
      <c r="AZ498" s="35"/>
      <c r="BA498" s="22"/>
      <c r="BB498" s="22"/>
      <c r="BC498" s="23"/>
      <c r="BD498" s="22"/>
      <c r="BE498" s="22"/>
      <c r="BF498" s="22"/>
      <c r="BG498" s="22"/>
      <c r="BH498" s="22"/>
      <c r="BI498" s="22"/>
      <c r="BJ498" s="22"/>
      <c r="BK498" s="22"/>
      <c r="BL498" s="22"/>
      <c r="BM498" s="22"/>
    </row>
    <row r="499" spans="2:65">
      <c r="B499" s="20"/>
      <c r="D499" s="19"/>
      <c r="E499" s="22"/>
      <c r="F499" s="22"/>
      <c r="G499" s="22"/>
      <c r="H499" s="22"/>
      <c r="I499" s="23"/>
      <c r="J499" s="24"/>
      <c r="K499" s="23"/>
      <c r="L499" s="24"/>
      <c r="M499" s="23"/>
      <c r="N499" s="24"/>
      <c r="O499" s="23"/>
      <c r="P499" s="24"/>
      <c r="Q499" s="23"/>
      <c r="R499" s="23"/>
      <c r="S499" s="23"/>
      <c r="T499" s="23"/>
      <c r="U499" s="23"/>
      <c r="V499" s="23"/>
      <c r="W499" s="23"/>
      <c r="X499" s="23"/>
      <c r="AO499" s="34"/>
      <c r="AP499" s="22"/>
      <c r="AQ499" s="22"/>
      <c r="AR499" s="22"/>
      <c r="AS499" s="34"/>
      <c r="AT499" s="34"/>
      <c r="AV499" s="34"/>
      <c r="AX499" s="35"/>
      <c r="AY499" s="35"/>
      <c r="AZ499" s="35"/>
      <c r="BA499" s="22"/>
      <c r="BB499" s="22"/>
      <c r="BC499" s="23"/>
      <c r="BD499" s="22"/>
      <c r="BE499" s="22"/>
      <c r="BF499" s="22"/>
      <c r="BG499" s="22"/>
      <c r="BH499" s="22"/>
      <c r="BI499" s="22"/>
      <c r="BJ499" s="22"/>
      <c r="BK499" s="22"/>
      <c r="BL499" s="22"/>
      <c r="BM499" s="22"/>
    </row>
    <row r="500" spans="2:65">
      <c r="B500" s="20"/>
      <c r="D500" s="19"/>
      <c r="E500" s="22"/>
      <c r="F500" s="22"/>
      <c r="G500" s="22"/>
      <c r="H500" s="22"/>
      <c r="I500" s="23"/>
      <c r="J500" s="24"/>
      <c r="K500" s="23"/>
      <c r="L500" s="24"/>
      <c r="M500" s="23"/>
      <c r="N500" s="24"/>
      <c r="O500" s="23"/>
      <c r="P500" s="24"/>
      <c r="Q500" s="23"/>
      <c r="R500" s="23"/>
      <c r="S500" s="23"/>
      <c r="T500" s="23"/>
      <c r="U500" s="23"/>
      <c r="V500" s="23"/>
      <c r="W500" s="23"/>
      <c r="X500" s="23"/>
      <c r="AO500" s="34"/>
      <c r="AP500" s="22"/>
      <c r="AQ500" s="22"/>
      <c r="AR500" s="22"/>
      <c r="AS500" s="34"/>
      <c r="AT500" s="34"/>
      <c r="AV500" s="34"/>
      <c r="AX500" s="35"/>
      <c r="AY500" s="35"/>
      <c r="AZ500" s="35"/>
      <c r="BA500" s="22"/>
      <c r="BB500" s="22"/>
      <c r="BC500" s="23"/>
      <c r="BD500" s="22"/>
      <c r="BE500" s="22"/>
      <c r="BF500" s="22"/>
      <c r="BG500" s="22"/>
      <c r="BH500" s="22"/>
      <c r="BI500" s="22"/>
      <c r="BJ500" s="22"/>
      <c r="BK500" s="22"/>
      <c r="BL500" s="22"/>
      <c r="BM500" s="22"/>
    </row>
    <row r="501" spans="2:65">
      <c r="B501" s="20"/>
      <c r="D501" s="19"/>
      <c r="E501" s="22"/>
      <c r="F501" s="22"/>
      <c r="G501" s="22"/>
      <c r="H501" s="22"/>
      <c r="I501" s="23"/>
      <c r="J501" s="24"/>
      <c r="K501" s="23"/>
      <c r="L501" s="24"/>
      <c r="M501" s="23"/>
      <c r="N501" s="24"/>
      <c r="O501" s="23"/>
      <c r="P501" s="24"/>
      <c r="Q501" s="23"/>
      <c r="R501" s="23"/>
      <c r="S501" s="23"/>
      <c r="T501" s="23"/>
      <c r="U501" s="23"/>
      <c r="V501" s="23"/>
      <c r="W501" s="23"/>
      <c r="X501" s="23"/>
      <c r="AO501" s="34"/>
      <c r="AP501" s="22"/>
      <c r="AQ501" s="22"/>
      <c r="AR501" s="22"/>
      <c r="AS501" s="34"/>
      <c r="AT501" s="34"/>
      <c r="AV501" s="34"/>
      <c r="AX501" s="35"/>
      <c r="AY501" s="35"/>
      <c r="AZ501" s="35"/>
      <c r="BA501" s="22"/>
      <c r="BB501" s="22"/>
      <c r="BC501" s="23"/>
      <c r="BD501" s="22"/>
      <c r="BE501" s="22"/>
      <c r="BF501" s="22"/>
      <c r="BG501" s="22"/>
      <c r="BH501" s="22"/>
      <c r="BI501" s="22"/>
      <c r="BJ501" s="22"/>
      <c r="BK501" s="22"/>
      <c r="BL501" s="22"/>
      <c r="BM501" s="22"/>
    </row>
    <row r="502" spans="2:65">
      <c r="B502" s="20"/>
      <c r="D502" s="19"/>
      <c r="E502" s="22"/>
      <c r="F502" s="22"/>
      <c r="G502" s="22"/>
      <c r="H502" s="22"/>
      <c r="I502" s="23"/>
      <c r="J502" s="24"/>
      <c r="K502" s="23"/>
      <c r="L502" s="24"/>
      <c r="M502" s="23"/>
      <c r="N502" s="24"/>
      <c r="O502" s="23"/>
      <c r="P502" s="24"/>
      <c r="Q502" s="23"/>
      <c r="R502" s="23"/>
      <c r="S502" s="23"/>
      <c r="T502" s="23"/>
      <c r="U502" s="23"/>
      <c r="V502" s="23"/>
      <c r="W502" s="23"/>
      <c r="X502" s="23"/>
      <c r="AO502" s="34"/>
      <c r="AP502" s="22"/>
      <c r="AQ502" s="22"/>
      <c r="AR502" s="22"/>
      <c r="AS502" s="34"/>
      <c r="AT502" s="34"/>
      <c r="AV502" s="34"/>
      <c r="AX502" s="35"/>
      <c r="AY502" s="35"/>
      <c r="AZ502" s="35"/>
      <c r="BA502" s="22"/>
      <c r="BB502" s="22"/>
      <c r="BC502" s="23"/>
      <c r="BD502" s="22"/>
      <c r="BE502" s="22"/>
      <c r="BF502" s="22"/>
      <c r="BG502" s="22"/>
      <c r="BH502" s="22"/>
      <c r="BI502" s="22"/>
      <c r="BJ502" s="22"/>
      <c r="BK502" s="22"/>
      <c r="BL502" s="22"/>
      <c r="BM502" s="22"/>
    </row>
    <row r="503" spans="2:65">
      <c r="B503" s="20"/>
      <c r="D503" s="19"/>
      <c r="E503" s="27"/>
      <c r="F503" s="27"/>
      <c r="G503" s="27"/>
      <c r="H503" s="27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</row>
  </sheetData>
  <mergeCells count="109">
    <mergeCell ref="BM10:BM11"/>
    <mergeCell ref="A8:H8"/>
    <mergeCell ref="E3:F3"/>
    <mergeCell ref="G3:H3"/>
    <mergeCell ref="E1:H1"/>
    <mergeCell ref="V8:X8"/>
    <mergeCell ref="I8:U8"/>
    <mergeCell ref="G6:H6"/>
    <mergeCell ref="E5:F5"/>
    <mergeCell ref="E4:F4"/>
    <mergeCell ref="G4:H4"/>
    <mergeCell ref="G5:H5"/>
    <mergeCell ref="L1:O1"/>
    <mergeCell ref="L2:M2"/>
    <mergeCell ref="N2:O2"/>
    <mergeCell ref="S1:X1"/>
    <mergeCell ref="S2:T2"/>
    <mergeCell ref="L6:M6"/>
    <mergeCell ref="N6:O6"/>
    <mergeCell ref="L3:M3"/>
    <mergeCell ref="N3:O3"/>
    <mergeCell ref="AL1:AM6"/>
    <mergeCell ref="A10:A11"/>
    <mergeCell ref="B10:B11"/>
    <mergeCell ref="C10:C11"/>
    <mergeCell ref="D10:D11"/>
    <mergeCell ref="E6:F6"/>
    <mergeCell ref="L4:M4"/>
    <mergeCell ref="N4:O4"/>
    <mergeCell ref="X10:X11"/>
    <mergeCell ref="S3:T3"/>
    <mergeCell ref="S6:T6"/>
    <mergeCell ref="S4:T4"/>
    <mergeCell ref="S5:T5"/>
    <mergeCell ref="L10:L11"/>
    <mergeCell ref="E10:E11"/>
    <mergeCell ref="F10:F11"/>
    <mergeCell ref="G10:G11"/>
    <mergeCell ref="H10:H11"/>
    <mergeCell ref="I10:I11"/>
    <mergeCell ref="J10:J11"/>
    <mergeCell ref="K10:K11"/>
    <mergeCell ref="M10:M11"/>
    <mergeCell ref="V10:V11"/>
    <mergeCell ref="L5:M5"/>
    <mergeCell ref="N5:O5"/>
    <mergeCell ref="Q10:Q11"/>
    <mergeCell ref="W10:W11"/>
    <mergeCell ref="R10:R11"/>
    <mergeCell ref="S10:S11"/>
    <mergeCell ref="T10:T11"/>
    <mergeCell ref="P10:P11"/>
    <mergeCell ref="AN1:AQ1"/>
    <mergeCell ref="AN2:AO2"/>
    <mergeCell ref="AP2:AQ2"/>
    <mergeCell ref="AN3:AO3"/>
    <mergeCell ref="AP3:AQ3"/>
    <mergeCell ref="AN4:AO4"/>
    <mergeCell ref="AP4:AQ4"/>
    <mergeCell ref="AN5:AO5"/>
    <mergeCell ref="AP5:AQ5"/>
    <mergeCell ref="BL10:BL11"/>
    <mergeCell ref="BC10:BC11"/>
    <mergeCell ref="BD10:BD11"/>
    <mergeCell ref="BE10:BE11"/>
    <mergeCell ref="BF10:BF11"/>
    <mergeCell ref="BG10:BG11"/>
    <mergeCell ref="AU1:AZ1"/>
    <mergeCell ref="AU2:AV2"/>
    <mergeCell ref="AU3:AV3"/>
    <mergeCell ref="AU4:AV4"/>
    <mergeCell ref="AU5:AV5"/>
    <mergeCell ref="AU6:AV6"/>
    <mergeCell ref="AZ10:AZ11"/>
    <mergeCell ref="BA10:BA11"/>
    <mergeCell ref="BB10:BB11"/>
    <mergeCell ref="AU8:AV8"/>
    <mergeCell ref="AW8:AZ8"/>
    <mergeCell ref="BA8:BB8"/>
    <mergeCell ref="AY10:AY11"/>
    <mergeCell ref="AV10:AV11"/>
    <mergeCell ref="AW10:AW11"/>
    <mergeCell ref="AX10:AX11"/>
    <mergeCell ref="AU10:AU11"/>
    <mergeCell ref="BC8:BM8"/>
    <mergeCell ref="C2:D2"/>
    <mergeCell ref="E2:H2"/>
    <mergeCell ref="C3:D4"/>
    <mergeCell ref="E7:F7"/>
    <mergeCell ref="G7:H7"/>
    <mergeCell ref="BH10:BH11"/>
    <mergeCell ref="BI10:BI11"/>
    <mergeCell ref="BJ10:BJ11"/>
    <mergeCell ref="BK10:BK11"/>
    <mergeCell ref="AN6:AO6"/>
    <mergeCell ref="AP6:AQ6"/>
    <mergeCell ref="AL8:AT8"/>
    <mergeCell ref="AN10:AN11"/>
    <mergeCell ref="AO10:AO11"/>
    <mergeCell ref="AT10:AT11"/>
    <mergeCell ref="AP10:AP11"/>
    <mergeCell ref="AQ10:AQ11"/>
    <mergeCell ref="AR10:AR11"/>
    <mergeCell ref="AS10:AS11"/>
    <mergeCell ref="AL10:AL11"/>
    <mergeCell ref="AM10:AM11"/>
    <mergeCell ref="N10:N11"/>
    <mergeCell ref="O10:O11"/>
    <mergeCell ref="U10:U11"/>
  </mergeCells>
  <phoneticPr fontId="0" type="noConversion"/>
  <printOptions horizontalCentered="1"/>
  <pageMargins left="0.1" right="0.1" top="0.1" bottom="0.1" header="0.1" footer="0.1"/>
  <pageSetup fitToHeight="0" orientation="landscape" cellComments="atEnd" r:id="rId1"/>
  <headerFooter alignWithMargins="0">
    <oddHeader>&amp;C&amp;"Arial,Bold Italic"&amp;18Driveability Test Facility - Wind Tunnel 8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911" r:id="rId4" name="Print LogSheet Button">
              <controlPr defaultSize="0" print="0" autoFill="0" autoPict="0" macro="[0]!PrintDiagSheet">
                <anchor moveWithCells="1" sizeWithCells="1">
                  <from>
                    <xdr:col>43</xdr:col>
                    <xdr:colOff>171450</xdr:colOff>
                    <xdr:row>3</xdr:row>
                    <xdr:rowOff>95250</xdr:rowOff>
                  </from>
                  <to>
                    <xdr:col>45</xdr:col>
                    <xdr:colOff>381000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12" r:id="rId5" name="Button 520">
              <controlPr defaultSize="0" print="0" autoFill="0" autoPict="0" macro="[0]!ClearPrintArea">
                <anchor moveWithCells="1" sizeWithCells="1">
                  <from>
                    <xdr:col>43</xdr:col>
                    <xdr:colOff>171450</xdr:colOff>
                    <xdr:row>1</xdr:row>
                    <xdr:rowOff>76200</xdr:rowOff>
                  </from>
                  <to>
                    <xdr:col>45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37" r:id="rId6" name="AeroData Import D1 Button">
              <controlPr defaultSize="0" print="0" autoFill="0" autoPict="0" macro="[0]!Aero">
                <anchor moveWithCells="1">
                  <from>
                    <xdr:col>1</xdr:col>
                    <xdr:colOff>552450</xdr:colOff>
                    <xdr:row>4</xdr:row>
                    <xdr:rowOff>19050</xdr:rowOff>
                  </from>
                  <to>
                    <xdr:col>1</xdr:col>
                    <xdr:colOff>1924050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81" r:id="rId7" name="AeroData Copy Log Sheet Button">
              <controlPr defaultSize="0" print="0" autoFill="0" autoPict="0" macro="[0]!CopyLogSheet">
                <anchor moveWithCells="1" sizeWithCells="1">
                  <from>
                    <xdr:col>8</xdr:col>
                    <xdr:colOff>50800</xdr:colOff>
                    <xdr:row>2</xdr:row>
                    <xdr:rowOff>88900</xdr:rowOff>
                  </from>
                  <to>
                    <xdr:col>10</xdr:col>
                    <xdr:colOff>476250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92" r:id="rId8" name="AeroData Clear Print Area Button">
              <controlPr defaultSize="0" print="0" autoFill="0" autoPict="0" macro="[0]!ClearPrintArea">
                <anchor moveWithCells="1" sizeWithCells="1">
                  <from>
                    <xdr:col>8</xdr:col>
                    <xdr:colOff>50800</xdr:colOff>
                    <xdr:row>0</xdr:row>
                    <xdr:rowOff>69850</xdr:rowOff>
                  </from>
                  <to>
                    <xdr:col>10</xdr:col>
                    <xdr:colOff>476250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13" r:id="rId9" name="AeroData Print Log Sheet Button">
              <controlPr defaultSize="0" print="0" autoFill="0" autoPict="0" macro="[0]!PrintLogSheet">
                <anchor moveWithCells="1" sizeWithCells="1">
                  <from>
                    <xdr:col>8</xdr:col>
                    <xdr:colOff>50800</xdr:colOff>
                    <xdr:row>4</xdr:row>
                    <xdr:rowOff>114300</xdr:rowOff>
                  </from>
                  <to>
                    <xdr:col>10</xdr:col>
                    <xdr:colOff>476250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AeroData</vt:lpstr>
    </vt:vector>
  </TitlesOfParts>
  <Company>Sverdrup Technology,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Skinner</dc:creator>
  <cp:lastModifiedBy>Bakhurynskyy, Viktor</cp:lastModifiedBy>
  <cp:lastPrinted>2017-09-08T19:03:19Z</cp:lastPrinted>
  <dcterms:created xsi:type="dcterms:W3CDTF">2001-07-24T16:16:54Z</dcterms:created>
  <dcterms:modified xsi:type="dcterms:W3CDTF">2026-04-25T22:05:43Z</dcterms:modified>
</cp:coreProperties>
</file>