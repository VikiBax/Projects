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patel_3286_buckeyemail_osu_edu/Documents/Formula/Custom Airfoils/"/>
    </mc:Choice>
  </mc:AlternateContent>
  <xr:revisionPtr revIDLastSave="130" documentId="8_{90C15CF6-FFF5-4900-A3CE-FC297C4EE339}" xr6:coauthVersionLast="47" xr6:coauthVersionMax="47" xr10:uidLastSave="{05A37DDB-E33F-4442-93B9-AEDFDF5A1DF8}"/>
  <bookViews>
    <workbookView xWindow="-28920" yWindow="-405" windowWidth="29040" windowHeight="15840" xr2:uid="{58BCB9B8-535D-4291-8179-69DA6E6B9E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5" i="1" l="1"/>
  <c r="D155" i="1"/>
  <c r="E155" i="1"/>
  <c r="F155" i="1"/>
  <c r="G155" i="1"/>
  <c r="B155" i="1"/>
  <c r="C154" i="1"/>
  <c r="D154" i="1"/>
  <c r="E154" i="1"/>
  <c r="F154" i="1"/>
  <c r="G154" i="1"/>
  <c r="B154" i="1"/>
  <c r="O9" i="1" a="1"/>
  <c r="O9" i="1" s="1"/>
  <c r="P9" i="1" a="1"/>
  <c r="P9" i="1" s="1"/>
  <c r="O2" i="1" a="1"/>
  <c r="O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<sst xmlns="http://schemas.openxmlformats.org/spreadsheetml/2006/main" count="23" uniqueCount="17">
  <si>
    <t>Run</t>
  </si>
  <si>
    <t>2nd Attached</t>
  </si>
  <si>
    <t>3rd Attached</t>
  </si>
  <si>
    <t>AoA_mp</t>
  </si>
  <si>
    <t>AoA_2</t>
  </si>
  <si>
    <t>AoA_3</t>
  </si>
  <si>
    <t>gap_1</t>
  </si>
  <si>
    <t>gap_2</t>
  </si>
  <si>
    <t>y_g</t>
  </si>
  <si>
    <t>Cl</t>
  </si>
  <si>
    <t>Cd</t>
  </si>
  <si>
    <t>Cm</t>
  </si>
  <si>
    <t>LD</t>
  </si>
  <si>
    <t>const</t>
  </si>
  <si>
    <t>c_mp</t>
  </si>
  <si>
    <t>c_2</t>
  </si>
  <si>
    <t>c_3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</si>
</sst>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Sheet1!$C$2:$C$152</c:f>
              <c:numCache>
                <c:formatCode>General</c:formatCode>
                <c:ptCount val="151"/>
                <c:pt idx="0">
                  <c:v>29.6</c:v>
                </c:pt>
                <c:pt idx="1">
                  <c:v>28.1</c:v>
                </c:pt>
                <c:pt idx="2">
                  <c:v>30.3</c:v>
                </c:pt>
                <c:pt idx="3">
                  <c:v>34.200000000000003</c:v>
                </c:pt>
                <c:pt idx="4">
                  <c:v>31.1</c:v>
                </c:pt>
                <c:pt idx="5">
                  <c:v>31.4</c:v>
                </c:pt>
                <c:pt idx="6">
                  <c:v>24.6</c:v>
                </c:pt>
                <c:pt idx="7">
                  <c:v>32.799999999999997</c:v>
                </c:pt>
                <c:pt idx="8">
                  <c:v>23.8</c:v>
                </c:pt>
                <c:pt idx="9">
                  <c:v>31.7</c:v>
                </c:pt>
                <c:pt idx="10">
                  <c:v>27</c:v>
                </c:pt>
                <c:pt idx="11">
                  <c:v>27.6</c:v>
                </c:pt>
                <c:pt idx="12">
                  <c:v>33.5</c:v>
                </c:pt>
                <c:pt idx="13">
                  <c:v>33.700000000000003</c:v>
                </c:pt>
                <c:pt idx="14">
                  <c:v>23.3</c:v>
                </c:pt>
                <c:pt idx="15">
                  <c:v>32.700000000000003</c:v>
                </c:pt>
                <c:pt idx="16">
                  <c:v>28.9</c:v>
                </c:pt>
                <c:pt idx="17">
                  <c:v>34.299999999999997</c:v>
                </c:pt>
                <c:pt idx="18">
                  <c:v>31.6</c:v>
                </c:pt>
                <c:pt idx="19">
                  <c:v>22.6</c:v>
                </c:pt>
                <c:pt idx="20">
                  <c:v>28.7</c:v>
                </c:pt>
                <c:pt idx="21">
                  <c:v>32.4</c:v>
                </c:pt>
                <c:pt idx="22">
                  <c:v>33</c:v>
                </c:pt>
                <c:pt idx="23">
                  <c:v>34.9</c:v>
                </c:pt>
                <c:pt idx="24">
                  <c:v>30.1</c:v>
                </c:pt>
                <c:pt idx="25">
                  <c:v>21.6</c:v>
                </c:pt>
                <c:pt idx="26">
                  <c:v>32.9</c:v>
                </c:pt>
                <c:pt idx="27">
                  <c:v>34</c:v>
                </c:pt>
                <c:pt idx="28">
                  <c:v>28</c:v>
                </c:pt>
                <c:pt idx="29">
                  <c:v>25</c:v>
                </c:pt>
                <c:pt idx="30">
                  <c:v>30.6</c:v>
                </c:pt>
                <c:pt idx="31">
                  <c:v>30.5</c:v>
                </c:pt>
                <c:pt idx="32">
                  <c:v>33.200000000000003</c:v>
                </c:pt>
                <c:pt idx="33">
                  <c:v>30.2</c:v>
                </c:pt>
                <c:pt idx="34">
                  <c:v>22.5</c:v>
                </c:pt>
                <c:pt idx="35">
                  <c:v>27.8</c:v>
                </c:pt>
                <c:pt idx="36">
                  <c:v>20.3</c:v>
                </c:pt>
                <c:pt idx="37">
                  <c:v>23.1</c:v>
                </c:pt>
                <c:pt idx="38">
                  <c:v>32.1</c:v>
                </c:pt>
                <c:pt idx="39">
                  <c:v>23.2</c:v>
                </c:pt>
                <c:pt idx="40">
                  <c:v>27.7</c:v>
                </c:pt>
                <c:pt idx="41">
                  <c:v>24.9</c:v>
                </c:pt>
                <c:pt idx="42">
                  <c:v>24.2</c:v>
                </c:pt>
                <c:pt idx="43">
                  <c:v>26</c:v>
                </c:pt>
                <c:pt idx="44">
                  <c:v>26.6</c:v>
                </c:pt>
                <c:pt idx="45">
                  <c:v>21.1</c:v>
                </c:pt>
                <c:pt idx="46">
                  <c:v>22</c:v>
                </c:pt>
                <c:pt idx="47">
                  <c:v>22.3</c:v>
                </c:pt>
                <c:pt idx="48">
                  <c:v>27.2</c:v>
                </c:pt>
                <c:pt idx="49">
                  <c:v>24.1</c:v>
                </c:pt>
                <c:pt idx="50">
                  <c:v>28.8</c:v>
                </c:pt>
                <c:pt idx="51">
                  <c:v>26.5</c:v>
                </c:pt>
                <c:pt idx="52">
                  <c:v>28.6</c:v>
                </c:pt>
                <c:pt idx="53">
                  <c:v>31.8</c:v>
                </c:pt>
                <c:pt idx="54">
                  <c:v>33.4</c:v>
                </c:pt>
                <c:pt idx="55">
                  <c:v>29.8</c:v>
                </c:pt>
                <c:pt idx="56">
                  <c:v>31</c:v>
                </c:pt>
                <c:pt idx="57">
                  <c:v>22.1</c:v>
                </c:pt>
                <c:pt idx="58">
                  <c:v>29.2</c:v>
                </c:pt>
                <c:pt idx="59">
                  <c:v>21.3</c:v>
                </c:pt>
                <c:pt idx="60">
                  <c:v>23.4</c:v>
                </c:pt>
                <c:pt idx="61">
                  <c:v>33.299999999999997</c:v>
                </c:pt>
                <c:pt idx="62">
                  <c:v>28.5</c:v>
                </c:pt>
                <c:pt idx="63">
                  <c:v>22.2</c:v>
                </c:pt>
                <c:pt idx="64">
                  <c:v>22.4</c:v>
                </c:pt>
                <c:pt idx="65">
                  <c:v>34.799999999999997</c:v>
                </c:pt>
                <c:pt idx="66">
                  <c:v>21.9</c:v>
                </c:pt>
                <c:pt idx="67">
                  <c:v>26.1</c:v>
                </c:pt>
                <c:pt idx="68">
                  <c:v>26.7</c:v>
                </c:pt>
                <c:pt idx="69">
                  <c:v>23.5</c:v>
                </c:pt>
                <c:pt idx="70">
                  <c:v>25.9</c:v>
                </c:pt>
                <c:pt idx="71">
                  <c:v>20.6</c:v>
                </c:pt>
                <c:pt idx="72">
                  <c:v>27.3</c:v>
                </c:pt>
                <c:pt idx="73">
                  <c:v>26.2</c:v>
                </c:pt>
                <c:pt idx="74">
                  <c:v>20.2</c:v>
                </c:pt>
                <c:pt idx="75">
                  <c:v>21</c:v>
                </c:pt>
                <c:pt idx="76">
                  <c:v>30</c:v>
                </c:pt>
                <c:pt idx="77">
                  <c:v>22.8</c:v>
                </c:pt>
                <c:pt idx="78">
                  <c:v>35</c:v>
                </c:pt>
                <c:pt idx="79">
                  <c:v>24.8</c:v>
                </c:pt>
                <c:pt idx="80">
                  <c:v>21.7</c:v>
                </c:pt>
                <c:pt idx="81">
                  <c:v>20.399999999999999</c:v>
                </c:pt>
                <c:pt idx="82">
                  <c:v>21.4</c:v>
                </c:pt>
                <c:pt idx="83">
                  <c:v>26.9</c:v>
                </c:pt>
                <c:pt idx="84">
                  <c:v>23.9</c:v>
                </c:pt>
                <c:pt idx="85">
                  <c:v>26.3</c:v>
                </c:pt>
                <c:pt idx="86">
                  <c:v>20.8</c:v>
                </c:pt>
                <c:pt idx="87">
                  <c:v>22.9</c:v>
                </c:pt>
                <c:pt idx="88">
                  <c:v>25.8</c:v>
                </c:pt>
                <c:pt idx="89">
                  <c:v>33.799999999999997</c:v>
                </c:pt>
                <c:pt idx="90">
                  <c:v>25.6</c:v>
                </c:pt>
                <c:pt idx="91">
                  <c:v>20.7</c:v>
                </c:pt>
                <c:pt idx="92">
                  <c:v>34.5</c:v>
                </c:pt>
                <c:pt idx="93">
                  <c:v>27.9</c:v>
                </c:pt>
                <c:pt idx="94">
                  <c:v>29.7</c:v>
                </c:pt>
                <c:pt idx="95">
                  <c:v>25.2</c:v>
                </c:pt>
                <c:pt idx="96">
                  <c:v>32</c:v>
                </c:pt>
                <c:pt idx="97">
                  <c:v>21.8</c:v>
                </c:pt>
                <c:pt idx="98">
                  <c:v>23.6</c:v>
                </c:pt>
                <c:pt idx="99">
                  <c:v>28.3</c:v>
                </c:pt>
                <c:pt idx="100">
                  <c:v>25.3</c:v>
                </c:pt>
                <c:pt idx="101">
                  <c:v>32.200000000000003</c:v>
                </c:pt>
                <c:pt idx="102">
                  <c:v>29.5</c:v>
                </c:pt>
                <c:pt idx="103">
                  <c:v>22.7</c:v>
                </c:pt>
                <c:pt idx="104">
                  <c:v>27.4</c:v>
                </c:pt>
                <c:pt idx="105">
                  <c:v>25.4</c:v>
                </c:pt>
                <c:pt idx="106">
                  <c:v>25.1</c:v>
                </c:pt>
                <c:pt idx="107">
                  <c:v>29.1</c:v>
                </c:pt>
                <c:pt idx="108">
                  <c:v>27.5</c:v>
                </c:pt>
                <c:pt idx="109">
                  <c:v>31.3</c:v>
                </c:pt>
                <c:pt idx="110">
                  <c:v>24.7</c:v>
                </c:pt>
                <c:pt idx="111">
                  <c:v>24.3</c:v>
                </c:pt>
                <c:pt idx="112">
                  <c:v>27.1</c:v>
                </c:pt>
                <c:pt idx="113">
                  <c:v>25</c:v>
                </c:pt>
                <c:pt idx="114">
                  <c:v>33.9</c:v>
                </c:pt>
                <c:pt idx="115">
                  <c:v>26.4</c:v>
                </c:pt>
                <c:pt idx="116">
                  <c:v>30.8</c:v>
                </c:pt>
                <c:pt idx="117">
                  <c:v>25.5</c:v>
                </c:pt>
                <c:pt idx="118">
                  <c:v>31.9</c:v>
                </c:pt>
                <c:pt idx="119">
                  <c:v>33.6</c:v>
                </c:pt>
                <c:pt idx="120">
                  <c:v>21.5</c:v>
                </c:pt>
                <c:pt idx="121">
                  <c:v>29.9</c:v>
                </c:pt>
                <c:pt idx="122">
                  <c:v>26.8</c:v>
                </c:pt>
                <c:pt idx="123">
                  <c:v>29.3</c:v>
                </c:pt>
                <c:pt idx="124">
                  <c:v>20.100000000000001</c:v>
                </c:pt>
                <c:pt idx="125">
                  <c:v>29</c:v>
                </c:pt>
                <c:pt idx="126">
                  <c:v>24</c:v>
                </c:pt>
                <c:pt idx="127">
                  <c:v>25.7</c:v>
                </c:pt>
                <c:pt idx="128">
                  <c:v>28.2</c:v>
                </c:pt>
                <c:pt idx="129">
                  <c:v>28.4</c:v>
                </c:pt>
                <c:pt idx="130">
                  <c:v>21.2</c:v>
                </c:pt>
                <c:pt idx="131">
                  <c:v>30.9</c:v>
                </c:pt>
                <c:pt idx="132">
                  <c:v>23</c:v>
                </c:pt>
                <c:pt idx="133">
                  <c:v>20.5</c:v>
                </c:pt>
                <c:pt idx="134">
                  <c:v>34.1</c:v>
                </c:pt>
                <c:pt idx="135">
                  <c:v>31.2</c:v>
                </c:pt>
                <c:pt idx="136">
                  <c:v>23.7</c:v>
                </c:pt>
                <c:pt idx="137">
                  <c:v>29.4</c:v>
                </c:pt>
                <c:pt idx="138">
                  <c:v>34.6</c:v>
                </c:pt>
                <c:pt idx="139">
                  <c:v>24.5</c:v>
                </c:pt>
                <c:pt idx="140">
                  <c:v>20.9</c:v>
                </c:pt>
                <c:pt idx="141">
                  <c:v>34.700000000000003</c:v>
                </c:pt>
                <c:pt idx="142">
                  <c:v>24.4</c:v>
                </c:pt>
                <c:pt idx="143">
                  <c:v>30.4</c:v>
                </c:pt>
                <c:pt idx="144">
                  <c:v>32.299999999999997</c:v>
                </c:pt>
                <c:pt idx="145">
                  <c:v>33.1</c:v>
                </c:pt>
                <c:pt idx="146">
                  <c:v>32.5</c:v>
                </c:pt>
                <c:pt idx="147">
                  <c:v>34.4</c:v>
                </c:pt>
                <c:pt idx="148">
                  <c:v>31.5</c:v>
                </c:pt>
                <c:pt idx="149">
                  <c:v>30.7</c:v>
                </c:pt>
                <c:pt idx="150">
                  <c:v>32.6</c:v>
                </c:pt>
              </c:numCache>
            </c:numRef>
          </c:xVal>
          <c:yVal>
            <c:numRef>
              <c:f>Sheet1!$H$2:$H$152</c:f>
              <c:numCache>
                <c:formatCode>0.000</c:formatCode>
                <c:ptCount val="151"/>
                <c:pt idx="0">
                  <c:v>-3.6258900926422699</c:v>
                </c:pt>
                <c:pt idx="1">
                  <c:v>-3.5908659071811999</c:v>
                </c:pt>
                <c:pt idx="2">
                  <c:v>-3.5073164936063099</c:v>
                </c:pt>
                <c:pt idx="3">
                  <c:v>-3.4529138999399098</c:v>
                </c:pt>
                <c:pt idx="4">
                  <c:v>-3.4415621619894599</c:v>
                </c:pt>
                <c:pt idx="5" formatCode="General">
                  <c:v>-3.4197090641529</c:v>
                </c:pt>
                <c:pt idx="6" formatCode="General">
                  <c:v>-3.40182090824077</c:v>
                </c:pt>
                <c:pt idx="7" formatCode="General">
                  <c:v>-3.4001368309014199</c:v>
                </c:pt>
                <c:pt idx="8" formatCode="General">
                  <c:v>-3.39653683609761</c:v>
                </c:pt>
                <c:pt idx="9" formatCode="General">
                  <c:v>-3.38460035118417</c:v>
                </c:pt>
                <c:pt idx="10" formatCode="General">
                  <c:v>-3.3642459749392901</c:v>
                </c:pt>
                <c:pt idx="11" formatCode="General">
                  <c:v>-3.3522516235953201</c:v>
                </c:pt>
                <c:pt idx="12" formatCode="General">
                  <c:v>-3.34545328571852</c:v>
                </c:pt>
                <c:pt idx="13" formatCode="General">
                  <c:v>-3.3435926544025798</c:v>
                </c:pt>
                <c:pt idx="14" formatCode="General">
                  <c:v>-3.3421170102553499</c:v>
                </c:pt>
                <c:pt idx="15" formatCode="General">
                  <c:v>-3.3340975411252902</c:v>
                </c:pt>
                <c:pt idx="16" formatCode="General">
                  <c:v>-3.3212834969737601</c:v>
                </c:pt>
                <c:pt idx="17" formatCode="General">
                  <c:v>-3.3206689560229701</c:v>
                </c:pt>
                <c:pt idx="18" formatCode="General">
                  <c:v>-3.31851482674442</c:v>
                </c:pt>
                <c:pt idx="19" formatCode="General">
                  <c:v>-3.3182637435321101</c:v>
                </c:pt>
                <c:pt idx="20" formatCode="General">
                  <c:v>-3.2943086569873099</c:v>
                </c:pt>
                <c:pt idx="21" formatCode="General">
                  <c:v>-3.2889205774525201</c:v>
                </c:pt>
                <c:pt idx="22" formatCode="General">
                  <c:v>-3.2843224696165101</c:v>
                </c:pt>
                <c:pt idx="23" formatCode="General">
                  <c:v>-3.2567820621156902</c:v>
                </c:pt>
                <c:pt idx="24" formatCode="General">
                  <c:v>-3.25162346963375</c:v>
                </c:pt>
                <c:pt idx="25" formatCode="General">
                  <c:v>-3.2389452918926498</c:v>
                </c:pt>
                <c:pt idx="26" formatCode="General">
                  <c:v>-3.2371806874323101</c:v>
                </c:pt>
                <c:pt idx="27" formatCode="General">
                  <c:v>-3.22165570870109</c:v>
                </c:pt>
                <c:pt idx="28" formatCode="General">
                  <c:v>-3.2142895308916901</c:v>
                </c:pt>
                <c:pt idx="29" formatCode="General">
                  <c:v>-3.1916907850202101</c:v>
                </c:pt>
                <c:pt idx="30" formatCode="General">
                  <c:v>-3.1817997052445302</c:v>
                </c:pt>
                <c:pt idx="31" formatCode="General">
                  <c:v>-3.1815055353560799</c:v>
                </c:pt>
                <c:pt idx="32" formatCode="General">
                  <c:v>-3.1788115402844999</c:v>
                </c:pt>
                <c:pt idx="33" formatCode="General">
                  <c:v>-3.1782239658389901</c:v>
                </c:pt>
                <c:pt idx="34" formatCode="General">
                  <c:v>-3.1627487960993301</c:v>
                </c:pt>
                <c:pt idx="35" formatCode="General">
                  <c:v>-3.1576564924058399</c:v>
                </c:pt>
                <c:pt idx="36" formatCode="General">
                  <c:v>-3.1299098568925698</c:v>
                </c:pt>
                <c:pt idx="37" formatCode="General">
                  <c:v>-3.1217414559893402</c:v>
                </c:pt>
                <c:pt idx="38" formatCode="General">
                  <c:v>-3.11907277027864</c:v>
                </c:pt>
                <c:pt idx="39" formatCode="General">
                  <c:v>-3.1086916253072001</c:v>
                </c:pt>
                <c:pt idx="40" formatCode="General">
                  <c:v>-3.1055961252196602</c:v>
                </c:pt>
                <c:pt idx="41" formatCode="General">
                  <c:v>-3.09657751472594</c:v>
                </c:pt>
                <c:pt idx="42" formatCode="General">
                  <c:v>-3.0824316095075601</c:v>
                </c:pt>
                <c:pt idx="43" formatCode="General">
                  <c:v>-3.07432222806171</c:v>
                </c:pt>
                <c:pt idx="44" formatCode="General">
                  <c:v>-3.0739308001920702</c:v>
                </c:pt>
                <c:pt idx="45" formatCode="General">
                  <c:v>-3.0677164034037299</c:v>
                </c:pt>
                <c:pt idx="46" formatCode="General">
                  <c:v>-3.0676221854784398</c:v>
                </c:pt>
                <c:pt idx="47" formatCode="General">
                  <c:v>-3.0668150451103999</c:v>
                </c:pt>
                <c:pt idx="48" formatCode="General">
                  <c:v>-3.0653592544982602</c:v>
                </c:pt>
                <c:pt idx="49" formatCode="General">
                  <c:v>-3.0562307324170499</c:v>
                </c:pt>
                <c:pt idx="50" formatCode="General">
                  <c:v>-3.05373912035662</c:v>
                </c:pt>
                <c:pt idx="51" formatCode="General">
                  <c:v>-3.0526078569716302</c:v>
                </c:pt>
                <c:pt idx="52" formatCode="General">
                  <c:v>-3.05163865097912</c:v>
                </c:pt>
                <c:pt idx="53" formatCode="General">
                  <c:v>-3.0315887241771402</c:v>
                </c:pt>
                <c:pt idx="54" formatCode="General">
                  <c:v>-3.0280607371515198</c:v>
                </c:pt>
                <c:pt idx="55" formatCode="General">
                  <c:v>-3.0240166547012</c:v>
                </c:pt>
                <c:pt idx="56" formatCode="General">
                  <c:v>-3.0194160610647001</c:v>
                </c:pt>
                <c:pt idx="57" formatCode="General">
                  <c:v>-3.0155510494336299</c:v>
                </c:pt>
                <c:pt idx="58" formatCode="General">
                  <c:v>-3.0154358094509499</c:v>
                </c:pt>
                <c:pt idx="59" formatCode="General">
                  <c:v>-3.0141212189237998</c:v>
                </c:pt>
                <c:pt idx="60" formatCode="General">
                  <c:v>-3.0101680067910399</c:v>
                </c:pt>
                <c:pt idx="61" formatCode="General">
                  <c:v>-3.0093726896283801</c:v>
                </c:pt>
                <c:pt idx="62" formatCode="General">
                  <c:v>-2.98493239341864</c:v>
                </c:pt>
                <c:pt idx="63" formatCode="General">
                  <c:v>-2.9791001316884902</c:v>
                </c:pt>
                <c:pt idx="64" formatCode="General">
                  <c:v>-2.9750151797866198</c:v>
                </c:pt>
                <c:pt idx="65" formatCode="General">
                  <c:v>-2.96711701898638</c:v>
                </c:pt>
                <c:pt idx="66" formatCode="General">
                  <c:v>-2.96696169282307</c:v>
                </c:pt>
                <c:pt idx="67" formatCode="General">
                  <c:v>-2.9668424902622599</c:v>
                </c:pt>
                <c:pt idx="68" formatCode="General">
                  <c:v>-2.9652477219807101</c:v>
                </c:pt>
                <c:pt idx="69" formatCode="General">
                  <c:v>-2.96423238156618</c:v>
                </c:pt>
                <c:pt idx="70" formatCode="General">
                  <c:v>-2.96267237628722</c:v>
                </c:pt>
                <c:pt idx="71" formatCode="General">
                  <c:v>-2.9585707108800698</c:v>
                </c:pt>
                <c:pt idx="72" formatCode="General">
                  <c:v>-2.95521018851159</c:v>
                </c:pt>
                <c:pt idx="73" formatCode="General">
                  <c:v>-2.9551020583493202</c:v>
                </c:pt>
                <c:pt idx="74" formatCode="General">
                  <c:v>-2.9472092924004798</c:v>
                </c:pt>
                <c:pt idx="75" formatCode="General">
                  <c:v>-2.9382377386824898</c:v>
                </c:pt>
                <c:pt idx="76" formatCode="General">
                  <c:v>-2.9363673627077098</c:v>
                </c:pt>
                <c:pt idx="77" formatCode="General">
                  <c:v>-2.9317150190343302</c:v>
                </c:pt>
                <c:pt idx="78" formatCode="General">
                  <c:v>-2.9281181489914401</c:v>
                </c:pt>
                <c:pt idx="79" formatCode="General">
                  <c:v>-2.9258771276280999</c:v>
                </c:pt>
                <c:pt idx="80" formatCode="General">
                  <c:v>-2.9234506066250998</c:v>
                </c:pt>
                <c:pt idx="81" formatCode="General">
                  <c:v>-2.9219984571380202</c:v>
                </c:pt>
                <c:pt idx="82" formatCode="General">
                  <c:v>-2.9171796485891202</c:v>
                </c:pt>
                <c:pt idx="83" formatCode="General">
                  <c:v>-2.9001914670377702</c:v>
                </c:pt>
                <c:pt idx="84" formatCode="General">
                  <c:v>-2.8980085654678498</c:v>
                </c:pt>
                <c:pt idx="85" formatCode="General">
                  <c:v>-2.89298600138794</c:v>
                </c:pt>
                <c:pt idx="86" formatCode="General">
                  <c:v>-2.8845334082715199</c:v>
                </c:pt>
                <c:pt idx="87" formatCode="General">
                  <c:v>-2.87930395335133</c:v>
                </c:pt>
                <c:pt idx="88" formatCode="General">
                  <c:v>-2.8726124277619598</c:v>
                </c:pt>
                <c:pt idx="89" formatCode="General">
                  <c:v>-2.8632693798782398</c:v>
                </c:pt>
                <c:pt idx="90" formatCode="General">
                  <c:v>-2.8555080507814798</c:v>
                </c:pt>
                <c:pt idx="91" formatCode="General">
                  <c:v>-2.84899088305189</c:v>
                </c:pt>
                <c:pt idx="92" formatCode="General">
                  <c:v>-2.8453186994112301</c:v>
                </c:pt>
                <c:pt idx="93" formatCode="General">
                  <c:v>-2.84453608565244</c:v>
                </c:pt>
                <c:pt idx="94" formatCode="General">
                  <c:v>-2.8373343533333801</c:v>
                </c:pt>
                <c:pt idx="95" formatCode="General">
                  <c:v>-2.83452070064607</c:v>
                </c:pt>
                <c:pt idx="96" formatCode="General">
                  <c:v>-2.83256091733797</c:v>
                </c:pt>
                <c:pt idx="97" formatCode="General">
                  <c:v>-2.8320083221114198</c:v>
                </c:pt>
                <c:pt idx="98" formatCode="General">
                  <c:v>-2.82133515240174</c:v>
                </c:pt>
                <c:pt idx="99" formatCode="General">
                  <c:v>-2.8186231655063598</c:v>
                </c:pt>
                <c:pt idx="100" formatCode="General">
                  <c:v>-2.8146958342855002</c:v>
                </c:pt>
                <c:pt idx="101" formatCode="General">
                  <c:v>-2.8133916831764401</c:v>
                </c:pt>
                <c:pt idx="102" formatCode="General">
                  <c:v>-2.80769437266739</c:v>
                </c:pt>
                <c:pt idx="103" formatCode="General">
                  <c:v>-2.7930273176565601</c:v>
                </c:pt>
                <c:pt idx="104" formatCode="General">
                  <c:v>-2.78866354369115</c:v>
                </c:pt>
                <c:pt idx="105" formatCode="General">
                  <c:v>-2.7653082196627898</c:v>
                </c:pt>
                <c:pt idx="106" formatCode="General">
                  <c:v>-2.75216093800171</c:v>
                </c:pt>
                <c:pt idx="107" formatCode="General">
                  <c:v>-2.74600839457774</c:v>
                </c:pt>
                <c:pt idx="108" formatCode="General">
                  <c:v>-2.7437723069147899</c:v>
                </c:pt>
                <c:pt idx="109" formatCode="General">
                  <c:v>-2.73873513176268</c:v>
                </c:pt>
                <c:pt idx="110" formatCode="General">
                  <c:v>-2.73513532237767</c:v>
                </c:pt>
                <c:pt idx="111" formatCode="General">
                  <c:v>-2.7319103180347701</c:v>
                </c:pt>
                <c:pt idx="112" formatCode="General">
                  <c:v>-2.7309285599275301</c:v>
                </c:pt>
                <c:pt idx="113" formatCode="General">
                  <c:v>-2.7305082735352402</c:v>
                </c:pt>
                <c:pt idx="114" formatCode="General">
                  <c:v>-2.72642234203756</c:v>
                </c:pt>
                <c:pt idx="115" formatCode="General">
                  <c:v>-2.7251025779818301</c:v>
                </c:pt>
                <c:pt idx="116" formatCode="General">
                  <c:v>-2.70773072471186</c:v>
                </c:pt>
                <c:pt idx="117" formatCode="General">
                  <c:v>-2.7038620278158598</c:v>
                </c:pt>
                <c:pt idx="118" formatCode="General">
                  <c:v>-2.70216685022953</c:v>
                </c:pt>
                <c:pt idx="119" formatCode="General">
                  <c:v>-2.7008443385056902</c:v>
                </c:pt>
                <c:pt idx="120" formatCode="General">
                  <c:v>-2.6865529300666</c:v>
                </c:pt>
                <c:pt idx="121" formatCode="General">
                  <c:v>-2.6831355516727902</c:v>
                </c:pt>
                <c:pt idx="122" formatCode="General">
                  <c:v>-2.68110770472587</c:v>
                </c:pt>
                <c:pt idx="123" formatCode="General">
                  <c:v>-2.6565216961749698</c:v>
                </c:pt>
                <c:pt idx="124" formatCode="General">
                  <c:v>-2.6561864057060398</c:v>
                </c:pt>
                <c:pt idx="125" formatCode="General">
                  <c:v>-2.65238870713728</c:v>
                </c:pt>
                <c:pt idx="126" formatCode="General">
                  <c:v>-2.6478680059978998</c:v>
                </c:pt>
                <c:pt idx="127" formatCode="General">
                  <c:v>-2.6356725285418401</c:v>
                </c:pt>
                <c:pt idx="128" formatCode="General">
                  <c:v>-2.6312943595981801</c:v>
                </c:pt>
                <c:pt idx="129" formatCode="General">
                  <c:v>-2.6258487418134702</c:v>
                </c:pt>
                <c:pt idx="130" formatCode="General">
                  <c:v>-2.6199696829528598</c:v>
                </c:pt>
                <c:pt idx="131" formatCode="General">
                  <c:v>-2.6196043493385401</c:v>
                </c:pt>
                <c:pt idx="132" formatCode="General">
                  <c:v>-2.61931899843316</c:v>
                </c:pt>
                <c:pt idx="133" formatCode="General">
                  <c:v>-2.6191691119817602</c:v>
                </c:pt>
                <c:pt idx="134" formatCode="General">
                  <c:v>-2.5946574676107699</c:v>
                </c:pt>
                <c:pt idx="135" formatCode="General">
                  <c:v>-2.5819677356083299</c:v>
                </c:pt>
                <c:pt idx="136" formatCode="General">
                  <c:v>-2.5761422998318899</c:v>
                </c:pt>
                <c:pt idx="137" formatCode="General">
                  <c:v>-2.5398956521177198</c:v>
                </c:pt>
                <c:pt idx="138" formatCode="General">
                  <c:v>-2.53877066127257</c:v>
                </c:pt>
                <c:pt idx="139" formatCode="General">
                  <c:v>-2.4819392235305102</c:v>
                </c:pt>
                <c:pt idx="140" formatCode="General">
                  <c:v>-2.4700112267256098</c:v>
                </c:pt>
                <c:pt idx="141" formatCode="General">
                  <c:v>-2.4525401267002902</c:v>
                </c:pt>
                <c:pt idx="142" formatCode="General">
                  <c:v>-2.44238193052515</c:v>
                </c:pt>
                <c:pt idx="143" formatCode="General">
                  <c:v>-2.4079159555617702</c:v>
                </c:pt>
                <c:pt idx="144" formatCode="General">
                  <c:v>-2.3855994467451</c:v>
                </c:pt>
                <c:pt idx="145" formatCode="General">
                  <c:v>-2.38492834808256</c:v>
                </c:pt>
                <c:pt idx="146" formatCode="General">
                  <c:v>-2.3504358339454798</c:v>
                </c:pt>
                <c:pt idx="147" formatCode="General">
                  <c:v>-2.3017754227163301</c:v>
                </c:pt>
                <c:pt idx="148" formatCode="General">
                  <c:v>-2.2895729180357902</c:v>
                </c:pt>
                <c:pt idx="149" formatCode="General">
                  <c:v>-2.23027448283477</c:v>
                </c:pt>
                <c:pt idx="150" formatCode="General">
                  <c:v>-2.20664645148109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AD-466C-816F-C06E0C1D2F8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Sheet1!$O$9:$O$39</c:f>
              <c:numCache>
                <c:formatCode>General</c:formatCode>
                <c:ptCount val="31"/>
                <c:pt idx="0">
                  <c:v>29.6</c:v>
                </c:pt>
                <c:pt idx="1">
                  <c:v>28.1</c:v>
                </c:pt>
                <c:pt idx="2">
                  <c:v>30.3</c:v>
                </c:pt>
                <c:pt idx="3">
                  <c:v>34.200000000000003</c:v>
                </c:pt>
                <c:pt idx="4">
                  <c:v>31.1</c:v>
                </c:pt>
                <c:pt idx="5">
                  <c:v>31.4</c:v>
                </c:pt>
                <c:pt idx="6">
                  <c:v>24.6</c:v>
                </c:pt>
                <c:pt idx="7">
                  <c:v>32.799999999999997</c:v>
                </c:pt>
                <c:pt idx="8">
                  <c:v>23.8</c:v>
                </c:pt>
                <c:pt idx="9">
                  <c:v>31.7</c:v>
                </c:pt>
                <c:pt idx="10">
                  <c:v>27</c:v>
                </c:pt>
                <c:pt idx="11">
                  <c:v>27.6</c:v>
                </c:pt>
                <c:pt idx="12">
                  <c:v>33.5</c:v>
                </c:pt>
                <c:pt idx="13">
                  <c:v>33.700000000000003</c:v>
                </c:pt>
                <c:pt idx="14">
                  <c:v>23.3</c:v>
                </c:pt>
                <c:pt idx="15">
                  <c:v>32.700000000000003</c:v>
                </c:pt>
                <c:pt idx="16">
                  <c:v>28.9</c:v>
                </c:pt>
                <c:pt idx="17">
                  <c:v>34.299999999999997</c:v>
                </c:pt>
                <c:pt idx="18">
                  <c:v>31.6</c:v>
                </c:pt>
                <c:pt idx="19">
                  <c:v>22.6</c:v>
                </c:pt>
                <c:pt idx="20">
                  <c:v>28.7</c:v>
                </c:pt>
                <c:pt idx="21">
                  <c:v>32.4</c:v>
                </c:pt>
                <c:pt idx="22">
                  <c:v>33</c:v>
                </c:pt>
                <c:pt idx="23">
                  <c:v>34.9</c:v>
                </c:pt>
                <c:pt idx="24">
                  <c:v>30.1</c:v>
                </c:pt>
                <c:pt idx="25">
                  <c:v>32.9</c:v>
                </c:pt>
                <c:pt idx="26">
                  <c:v>34</c:v>
                </c:pt>
                <c:pt idx="27">
                  <c:v>28</c:v>
                </c:pt>
                <c:pt idx="28">
                  <c:v>25</c:v>
                </c:pt>
                <c:pt idx="29">
                  <c:v>30.6</c:v>
                </c:pt>
                <c:pt idx="30">
                  <c:v>30.5</c:v>
                </c:pt>
              </c:numCache>
            </c:numRef>
          </c:xVal>
          <c:yVal>
            <c:numRef>
              <c:f>Sheet1!$P$9:$P$39</c:f>
              <c:numCache>
                <c:formatCode>General</c:formatCode>
                <c:ptCount val="31"/>
                <c:pt idx="0">
                  <c:v>-3.6258900926422699</c:v>
                </c:pt>
                <c:pt idx="1">
                  <c:v>-3.5908659071811999</c:v>
                </c:pt>
                <c:pt idx="2">
                  <c:v>-3.5073164936063099</c:v>
                </c:pt>
                <c:pt idx="3">
                  <c:v>-3.4529138999399098</c:v>
                </c:pt>
                <c:pt idx="4">
                  <c:v>-3.4415621619894599</c:v>
                </c:pt>
                <c:pt idx="5">
                  <c:v>-3.4197090641529</c:v>
                </c:pt>
                <c:pt idx="6">
                  <c:v>-3.40182090824077</c:v>
                </c:pt>
                <c:pt idx="7">
                  <c:v>-3.4001368309014199</c:v>
                </c:pt>
                <c:pt idx="8">
                  <c:v>-3.39653683609761</c:v>
                </c:pt>
                <c:pt idx="9">
                  <c:v>-3.38460035118417</c:v>
                </c:pt>
                <c:pt idx="10">
                  <c:v>-3.3642459749392901</c:v>
                </c:pt>
                <c:pt idx="11">
                  <c:v>-3.3522516235953201</c:v>
                </c:pt>
                <c:pt idx="12">
                  <c:v>-3.34545328571852</c:v>
                </c:pt>
                <c:pt idx="13">
                  <c:v>-3.3435926544025798</c:v>
                </c:pt>
                <c:pt idx="14">
                  <c:v>-3.3421170102553499</c:v>
                </c:pt>
                <c:pt idx="15">
                  <c:v>-3.3340975411252902</c:v>
                </c:pt>
                <c:pt idx="16">
                  <c:v>-3.3212834969737601</c:v>
                </c:pt>
                <c:pt idx="17">
                  <c:v>-3.3206689560229701</c:v>
                </c:pt>
                <c:pt idx="18">
                  <c:v>-3.31851482674442</c:v>
                </c:pt>
                <c:pt idx="19">
                  <c:v>-3.3182637435321101</c:v>
                </c:pt>
                <c:pt idx="20">
                  <c:v>-3.2943086569873099</c:v>
                </c:pt>
                <c:pt idx="21">
                  <c:v>-3.2889205774525201</c:v>
                </c:pt>
                <c:pt idx="22">
                  <c:v>-3.2843224696165101</c:v>
                </c:pt>
                <c:pt idx="23">
                  <c:v>-3.2567820621156902</c:v>
                </c:pt>
                <c:pt idx="24">
                  <c:v>-3.25162346963375</c:v>
                </c:pt>
                <c:pt idx="25">
                  <c:v>-3.2371806874323101</c:v>
                </c:pt>
                <c:pt idx="26">
                  <c:v>-3.22165570870109</c:v>
                </c:pt>
                <c:pt idx="27">
                  <c:v>-3.2142895308916901</c:v>
                </c:pt>
                <c:pt idx="28">
                  <c:v>-3.1916907850202101</c:v>
                </c:pt>
                <c:pt idx="29">
                  <c:v>-3.1817997052445302</c:v>
                </c:pt>
                <c:pt idx="30">
                  <c:v>-3.1815055353560799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AD-466C-816F-C06E0C1D2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77876512"/>
        <c:axId val="888013792"/>
      </c:scatterChart>
      <c:valAx>
        <c:axId val="877876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8013792"/>
        <c:crosses val="autoZero"/>
        <c:crossBetween val="midCat"/>
      </c:valAx>
      <c:valAx>
        <c:axId val="888013792"/>
        <c:scaling>
          <c:orientation val="minMax"/>
          <c:max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876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Sheet1!#REF!</c:f>
            </c:numRef>
          </c:xVal>
          <c:yVal>
            <c:numRef>
              <c:f>Sheet1!$L$2:$L$152</c:f>
              <c:numCache>
                <c:formatCode>General</c:formatCode>
                <c:ptCount val="15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0.5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0.5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0.5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0</c:v>
                </c:pt>
                <c:pt idx="115">
                  <c:v>1</c:v>
                </c:pt>
                <c:pt idx="116">
                  <c:v>0</c:v>
                </c:pt>
                <c:pt idx="117">
                  <c:v>1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0.5</c:v>
                </c:pt>
                <c:pt idx="130">
                  <c:v>1</c:v>
                </c:pt>
                <c:pt idx="131">
                  <c:v>0.5</c:v>
                </c:pt>
                <c:pt idx="132">
                  <c:v>1</c:v>
                </c:pt>
                <c:pt idx="133">
                  <c:v>1</c:v>
                </c:pt>
                <c:pt idx="134">
                  <c:v>0</c:v>
                </c:pt>
                <c:pt idx="135">
                  <c:v>0.5</c:v>
                </c:pt>
                <c:pt idx="136">
                  <c:v>1</c:v>
                </c:pt>
                <c:pt idx="137">
                  <c:v>0.5</c:v>
                </c:pt>
                <c:pt idx="138">
                  <c:v>0</c:v>
                </c:pt>
                <c:pt idx="139">
                  <c:v>1</c:v>
                </c:pt>
                <c:pt idx="140">
                  <c:v>1</c:v>
                </c:pt>
                <c:pt idx="141">
                  <c:v>0</c:v>
                </c:pt>
                <c:pt idx="142">
                  <c:v>1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C8-4615-B8BB-BE0C86BE82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9322832"/>
        <c:axId val="887994112"/>
      </c:scatterChart>
      <c:valAx>
        <c:axId val="1279322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7994112"/>
        <c:crosses val="autoZero"/>
        <c:crossBetween val="midCat"/>
      </c:valAx>
      <c:valAx>
        <c:axId val="887994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322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200025</xdr:colOff>
      <xdr:row>8</xdr:row>
      <xdr:rowOff>52386</xdr:rowOff>
    </xdr:from>
    <xdr:to>
      <xdr:col>28</xdr:col>
      <xdr:colOff>295275</xdr:colOff>
      <xdr:row>31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8E6B2C-62B3-363B-3992-CB1A603D1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209549</xdr:colOff>
      <xdr:row>32</xdr:row>
      <xdr:rowOff>157161</xdr:rowOff>
    </xdr:from>
    <xdr:to>
      <xdr:col>28</xdr:col>
      <xdr:colOff>295274</xdr:colOff>
      <xdr:row>57</xdr:row>
      <xdr:rowOff>47624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C2BEA40-EABC-FAC8-5827-18C24D3D7A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9F0C-0DE1-4141-AF4F-5226724F9A07}">
  <dimension ref="A1:U156"/>
  <sheetViews>
    <sheetView tabSelected="1" workbookViewId="0">
      <selection activeCell="G2" sqref="G2"/>
    </sheetView>
  </sheetViews>
  <sheetFormatPr defaultRowHeight="15" x14ac:dyDescent="0.25"/>
  <cols>
    <col min="1" max="1" width="6.140625" customWidth="1"/>
    <col min="2" max="2" width="12.7109375" bestFit="1" customWidth="1"/>
    <col min="3" max="3" width="12.28515625" bestFit="1" customWidth="1"/>
    <col min="8" max="10" width="9.28515625" bestFit="1" customWidth="1"/>
    <col min="11" max="11" width="10.28515625" bestFit="1" customWidth="1"/>
    <col min="15" max="15" width="12.7109375" bestFit="1" customWidth="1"/>
  </cols>
  <sheetData>
    <row r="1" spans="1:21" x14ac:dyDescent="0.25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</v>
      </c>
      <c r="M1" t="s">
        <v>2</v>
      </c>
      <c r="O1" t="s">
        <v>8</v>
      </c>
      <c r="P1" t="s">
        <v>7</v>
      </c>
      <c r="Q1" t="s">
        <v>6</v>
      </c>
      <c r="R1" t="s">
        <v>5</v>
      </c>
      <c r="S1" t="s">
        <v>4</v>
      </c>
      <c r="T1" t="s">
        <v>3</v>
      </c>
      <c r="U1" t="s">
        <v>13</v>
      </c>
    </row>
    <row r="2" spans="1:21" x14ac:dyDescent="0.25">
      <c r="A2">
        <v>118</v>
      </c>
      <c r="B2">
        <v>8.1999999999999993</v>
      </c>
      <c r="C2">
        <v>29.6</v>
      </c>
      <c r="D2">
        <v>56.9</v>
      </c>
      <c r="E2">
        <v>7.9</v>
      </c>
      <c r="F2">
        <v>11.9</v>
      </c>
      <c r="G2">
        <v>17.3</v>
      </c>
      <c r="H2" s="2">
        <v>-3.6258900926422699</v>
      </c>
      <c r="I2" s="2">
        <v>0.13402624881144601</v>
      </c>
      <c r="J2" s="2">
        <v>0.60452873426475395</v>
      </c>
      <c r="K2" s="2">
        <v>-27.053581852785602</v>
      </c>
      <c r="L2">
        <v>1</v>
      </c>
      <c r="M2">
        <v>1</v>
      </c>
      <c r="O2" cm="1">
        <f t="array" ref="O2:U6">LINEST(H2:H152, B2:G152, TRUE,TRUE)</f>
        <v>-4.1105445610049906E-3</v>
      </c>
      <c r="P2">
        <v>8.0311029997663359E-4</v>
      </c>
      <c r="Q2">
        <v>1.8810323666136611E-2</v>
      </c>
      <c r="R2">
        <v>-1.9336468770473087E-2</v>
      </c>
      <c r="S2">
        <v>-1.566321248800121E-3</v>
      </c>
      <c r="T2">
        <v>-0.12516852791425673</v>
      </c>
      <c r="U2">
        <v>-1.0248997513085929</v>
      </c>
    </row>
    <row r="3" spans="1:21" x14ac:dyDescent="0.25">
      <c r="A3">
        <v>32</v>
      </c>
      <c r="B3">
        <v>9.1999999999999993</v>
      </c>
      <c r="C3">
        <v>28.1</v>
      </c>
      <c r="D3">
        <v>55.7</v>
      </c>
      <c r="E3">
        <v>12.9</v>
      </c>
      <c r="F3">
        <v>9.9</v>
      </c>
      <c r="G3">
        <v>18.100000000000001</v>
      </c>
      <c r="H3" s="2">
        <v>-3.5908659071811999</v>
      </c>
      <c r="I3" s="2">
        <v>0.14229327850856899</v>
      </c>
      <c r="J3" s="2">
        <v>0.60215181564746101</v>
      </c>
      <c r="K3" s="2">
        <v>-25.235667803978099</v>
      </c>
      <c r="L3">
        <v>1</v>
      </c>
      <c r="M3">
        <v>1</v>
      </c>
      <c r="O3">
        <v>3.7720375380869866E-3</v>
      </c>
      <c r="P3">
        <v>3.7566141809856047E-3</v>
      </c>
      <c r="Q3">
        <v>3.7752507398121312E-3</v>
      </c>
      <c r="R3">
        <v>1.8862087025255112E-3</v>
      </c>
      <c r="S3">
        <v>3.7720798091215621E-3</v>
      </c>
      <c r="T3">
        <v>1.8839769914442181E-2</v>
      </c>
      <c r="U3">
        <v>0.23875649267120347</v>
      </c>
    </row>
    <row r="4" spans="1:21" x14ac:dyDescent="0.25">
      <c r="A4">
        <v>104</v>
      </c>
      <c r="B4">
        <v>9.9</v>
      </c>
      <c r="C4">
        <v>30.3</v>
      </c>
      <c r="D4">
        <v>51.5</v>
      </c>
      <c r="E4">
        <v>16.8</v>
      </c>
      <c r="F4">
        <v>6.6</v>
      </c>
      <c r="G4">
        <v>14.2</v>
      </c>
      <c r="H4" s="2">
        <v>-3.5073164936063099</v>
      </c>
      <c r="I4" s="2">
        <v>0.14458108672025199</v>
      </c>
      <c r="J4" s="2">
        <v>0.57952925969056301</v>
      </c>
      <c r="K4" s="2">
        <v>-24.258473726875199</v>
      </c>
      <c r="L4">
        <v>1</v>
      </c>
      <c r="M4">
        <v>0.5</v>
      </c>
      <c r="O4">
        <v>0.55287406264091266</v>
      </c>
      <c r="P4">
        <v>0.20025203281576662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</row>
    <row r="5" spans="1:21" x14ac:dyDescent="0.25">
      <c r="A5">
        <v>34</v>
      </c>
      <c r="B5">
        <v>9.4</v>
      </c>
      <c r="C5">
        <v>34.200000000000003</v>
      </c>
      <c r="D5">
        <v>59.3</v>
      </c>
      <c r="E5">
        <v>10.9</v>
      </c>
      <c r="F5">
        <v>13.2</v>
      </c>
      <c r="G5">
        <v>14.7</v>
      </c>
      <c r="H5" s="2">
        <v>-3.4529138999399098</v>
      </c>
      <c r="I5" s="2">
        <v>0.17890494963280401</v>
      </c>
      <c r="J5" s="2">
        <v>0.56519184441373305</v>
      </c>
      <c r="K5" s="2">
        <v>-19.3002703783594</v>
      </c>
      <c r="L5">
        <v>1</v>
      </c>
      <c r="M5">
        <v>1</v>
      </c>
      <c r="O5">
        <v>29.676152499123688</v>
      </c>
      <c r="P5">
        <v>144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</row>
    <row r="6" spans="1:21" x14ac:dyDescent="0.25">
      <c r="A6">
        <v>50</v>
      </c>
      <c r="B6">
        <v>10.1</v>
      </c>
      <c r="C6">
        <v>31.1</v>
      </c>
      <c r="D6">
        <v>50.7</v>
      </c>
      <c r="E6">
        <v>18.3</v>
      </c>
      <c r="F6">
        <v>14.2</v>
      </c>
      <c r="G6">
        <v>13.6</v>
      </c>
      <c r="H6" s="2">
        <v>-3.4415621619894599</v>
      </c>
      <c r="I6" s="2">
        <v>0.149246673594496</v>
      </c>
      <c r="J6" s="2">
        <v>0.57178769349494096</v>
      </c>
      <c r="K6" s="2">
        <v>-23.059556900679699</v>
      </c>
      <c r="L6">
        <v>1</v>
      </c>
      <c r="M6">
        <v>1</v>
      </c>
      <c r="O6">
        <v>7.1402383843222532</v>
      </c>
      <c r="P6">
        <v>5.7745262371459498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</row>
    <row r="7" spans="1:21" x14ac:dyDescent="0.25">
      <c r="A7">
        <v>84</v>
      </c>
      <c r="B7">
        <v>9.3000000000000007</v>
      </c>
      <c r="C7">
        <v>31.4</v>
      </c>
      <c r="D7">
        <v>53.5</v>
      </c>
      <c r="E7">
        <v>5.5</v>
      </c>
      <c r="F7">
        <v>11.2</v>
      </c>
      <c r="G7">
        <v>15.8</v>
      </c>
      <c r="H7">
        <v>-3.4197090641529</v>
      </c>
      <c r="I7">
        <v>0.148672739941555</v>
      </c>
      <c r="J7">
        <v>0.55321084783516805</v>
      </c>
      <c r="K7">
        <v>-23.001587685121098</v>
      </c>
      <c r="L7">
        <v>1</v>
      </c>
      <c r="M7">
        <v>1</v>
      </c>
    </row>
    <row r="8" spans="1:21" x14ac:dyDescent="0.25">
      <c r="A8">
        <v>109</v>
      </c>
      <c r="B8">
        <v>9.9</v>
      </c>
      <c r="C8">
        <v>24.6</v>
      </c>
      <c r="D8">
        <v>53.9</v>
      </c>
      <c r="E8">
        <v>8</v>
      </c>
      <c r="F8">
        <v>12.3</v>
      </c>
      <c r="G8">
        <v>7.4</v>
      </c>
      <c r="H8">
        <v>-3.40182090824077</v>
      </c>
      <c r="I8">
        <v>0.12823786539180901</v>
      </c>
      <c r="J8">
        <v>0.568835269982921</v>
      </c>
      <c r="K8">
        <v>-26.527429303716701</v>
      </c>
      <c r="L8">
        <v>1</v>
      </c>
      <c r="M8">
        <v>1</v>
      </c>
    </row>
    <row r="9" spans="1:21" x14ac:dyDescent="0.25">
      <c r="A9">
        <v>127</v>
      </c>
      <c r="B9">
        <v>9.5</v>
      </c>
      <c r="C9">
        <v>32.799999999999997</v>
      </c>
      <c r="D9">
        <v>48.3</v>
      </c>
      <c r="E9">
        <v>8.4</v>
      </c>
      <c r="F9">
        <v>13.1</v>
      </c>
      <c r="G9">
        <v>8</v>
      </c>
      <c r="H9">
        <v>-3.4001368309014199</v>
      </c>
      <c r="I9">
        <v>0.140575612513585</v>
      </c>
      <c r="J9">
        <v>0.54951727501579595</v>
      </c>
      <c r="K9">
        <v>-24.187245355753401</v>
      </c>
      <c r="L9">
        <v>1</v>
      </c>
      <c r="M9">
        <v>1</v>
      </c>
      <c r="O9" cm="1">
        <f t="array" ref="O9:O134">_xlfn._xlws.FILTER(C2:C152,L2:L152=1)</f>
        <v>29.6</v>
      </c>
      <c r="P9" cm="1">
        <f t="array" ref="P9:P134">_xlfn._xlws.FILTER(H2:H152,L2:L152=1)</f>
        <v>-3.6258900926422699</v>
      </c>
    </row>
    <row r="10" spans="1:21" x14ac:dyDescent="0.25">
      <c r="A10">
        <v>116</v>
      </c>
      <c r="B10">
        <v>10.6</v>
      </c>
      <c r="C10">
        <v>23.8</v>
      </c>
      <c r="D10">
        <v>54.9</v>
      </c>
      <c r="E10">
        <v>15.6</v>
      </c>
      <c r="F10">
        <v>12.5</v>
      </c>
      <c r="G10">
        <v>13.2</v>
      </c>
      <c r="H10">
        <v>-3.39653683609761</v>
      </c>
      <c r="I10">
        <v>0.14524609961409601</v>
      </c>
      <c r="J10">
        <v>0.57583971486562302</v>
      </c>
      <c r="K10">
        <v>-23.384702550511498</v>
      </c>
      <c r="L10">
        <v>1</v>
      </c>
      <c r="M10">
        <v>1</v>
      </c>
      <c r="O10">
        <v>28.1</v>
      </c>
      <c r="P10">
        <v>-3.5908659071811999</v>
      </c>
    </row>
    <row r="11" spans="1:21" x14ac:dyDescent="0.25">
      <c r="A11">
        <v>75</v>
      </c>
      <c r="B11">
        <v>9.9</v>
      </c>
      <c r="C11">
        <v>31.7</v>
      </c>
      <c r="D11">
        <v>51.3</v>
      </c>
      <c r="E11">
        <v>8.3000000000000007</v>
      </c>
      <c r="F11">
        <v>8.3000000000000007</v>
      </c>
      <c r="G11">
        <v>14.5</v>
      </c>
      <c r="H11">
        <v>-3.38460035118417</v>
      </c>
      <c r="I11">
        <v>0.15571602868560999</v>
      </c>
      <c r="J11">
        <v>0.54721441457993403</v>
      </c>
      <c r="K11">
        <v>-21.735722261564</v>
      </c>
      <c r="L11">
        <v>1</v>
      </c>
      <c r="M11">
        <v>1</v>
      </c>
      <c r="O11">
        <v>30.3</v>
      </c>
      <c r="P11">
        <v>-3.5073164936063099</v>
      </c>
    </row>
    <row r="12" spans="1:21" x14ac:dyDescent="0.25">
      <c r="A12">
        <v>99</v>
      </c>
      <c r="B12">
        <v>9.6</v>
      </c>
      <c r="C12">
        <v>27</v>
      </c>
      <c r="D12">
        <v>53.1</v>
      </c>
      <c r="E12">
        <v>5.4</v>
      </c>
      <c r="F12">
        <v>9.1</v>
      </c>
      <c r="G12">
        <v>6.6</v>
      </c>
      <c r="H12">
        <v>-3.3642459749392901</v>
      </c>
      <c r="I12">
        <v>0.12997395535645401</v>
      </c>
      <c r="J12">
        <v>0.55106877754480699</v>
      </c>
      <c r="K12">
        <v>-25.8840008808906</v>
      </c>
      <c r="L12">
        <v>1</v>
      </c>
      <c r="M12">
        <v>1</v>
      </c>
      <c r="O12">
        <v>34.200000000000003</v>
      </c>
      <c r="P12">
        <v>-3.4529138999399098</v>
      </c>
    </row>
    <row r="13" spans="1:21" x14ac:dyDescent="0.25">
      <c r="A13">
        <v>61</v>
      </c>
      <c r="B13">
        <v>10.6</v>
      </c>
      <c r="C13">
        <v>27.6</v>
      </c>
      <c r="D13">
        <v>56.7</v>
      </c>
      <c r="E13">
        <v>15</v>
      </c>
      <c r="F13">
        <v>8.6</v>
      </c>
      <c r="G13">
        <v>7.8</v>
      </c>
      <c r="H13">
        <v>-3.3522516235953201</v>
      </c>
      <c r="I13">
        <v>0.16173216473409799</v>
      </c>
      <c r="J13">
        <v>0.55716184569110805</v>
      </c>
      <c r="K13">
        <v>-20.7271795879732</v>
      </c>
      <c r="L13">
        <v>1</v>
      </c>
      <c r="M13">
        <v>1</v>
      </c>
      <c r="O13">
        <v>31.1</v>
      </c>
      <c r="P13">
        <v>-3.4415621619894599</v>
      </c>
    </row>
    <row r="14" spans="1:21" x14ac:dyDescent="0.25">
      <c r="A14">
        <v>86</v>
      </c>
      <c r="B14">
        <v>10.199999999999999</v>
      </c>
      <c r="C14">
        <v>33.5</v>
      </c>
      <c r="D14">
        <v>54.7</v>
      </c>
      <c r="E14">
        <v>10.7</v>
      </c>
      <c r="F14">
        <v>6.7</v>
      </c>
      <c r="G14">
        <v>7.3</v>
      </c>
      <c r="H14">
        <v>-3.34545328571852</v>
      </c>
      <c r="I14">
        <v>0.165977906317994</v>
      </c>
      <c r="J14">
        <v>0.53637790336713898</v>
      </c>
      <c r="K14">
        <v>-20.1560157007223</v>
      </c>
      <c r="L14">
        <v>1</v>
      </c>
      <c r="M14">
        <v>1</v>
      </c>
      <c r="O14">
        <v>31.4</v>
      </c>
      <c r="P14">
        <v>-3.4197090641529</v>
      </c>
    </row>
    <row r="15" spans="1:21" x14ac:dyDescent="0.25">
      <c r="A15">
        <v>17</v>
      </c>
      <c r="B15">
        <v>10.1</v>
      </c>
      <c r="C15">
        <v>33.700000000000003</v>
      </c>
      <c r="D15">
        <v>50.9</v>
      </c>
      <c r="E15">
        <v>9.5</v>
      </c>
      <c r="F15">
        <v>10.5</v>
      </c>
      <c r="G15">
        <v>8.1999999999999993</v>
      </c>
      <c r="H15">
        <v>-3.3435926544025798</v>
      </c>
      <c r="I15">
        <v>0.15213376485375099</v>
      </c>
      <c r="J15">
        <v>0.53380409587634203</v>
      </c>
      <c r="K15">
        <v>-21.977978771621299</v>
      </c>
      <c r="L15">
        <v>1</v>
      </c>
      <c r="M15">
        <v>1</v>
      </c>
      <c r="O15">
        <v>24.6</v>
      </c>
      <c r="P15">
        <v>-3.40182090824077</v>
      </c>
    </row>
    <row r="16" spans="1:21" x14ac:dyDescent="0.25">
      <c r="A16">
        <v>130</v>
      </c>
      <c r="B16">
        <v>9.8000000000000007</v>
      </c>
      <c r="C16">
        <v>23.3</v>
      </c>
      <c r="D16">
        <v>54.1</v>
      </c>
      <c r="E16">
        <v>6.2</v>
      </c>
      <c r="F16">
        <v>11.3</v>
      </c>
      <c r="G16">
        <v>17.7</v>
      </c>
      <c r="H16">
        <v>-3.3421170102553499</v>
      </c>
      <c r="I16">
        <v>0.128083658810068</v>
      </c>
      <c r="J16">
        <v>0.55686875078856402</v>
      </c>
      <c r="K16">
        <v>-26.093235009871702</v>
      </c>
      <c r="L16">
        <v>1</v>
      </c>
      <c r="M16">
        <v>1</v>
      </c>
      <c r="O16">
        <v>32.799999999999997</v>
      </c>
      <c r="P16">
        <v>-3.4001368309014199</v>
      </c>
    </row>
    <row r="17" spans="1:16" x14ac:dyDescent="0.25">
      <c r="A17">
        <v>4</v>
      </c>
      <c r="B17">
        <v>10.5</v>
      </c>
      <c r="C17">
        <v>32.700000000000003</v>
      </c>
      <c r="D17">
        <v>43.3</v>
      </c>
      <c r="E17">
        <v>14.9</v>
      </c>
      <c r="F17">
        <v>11.6</v>
      </c>
      <c r="G17">
        <v>5.2</v>
      </c>
      <c r="H17">
        <v>-3.3340975411252902</v>
      </c>
      <c r="I17">
        <v>0.136102423753763</v>
      </c>
      <c r="J17">
        <v>0.54024288170292101</v>
      </c>
      <c r="K17">
        <v>-24.496974037415601</v>
      </c>
      <c r="L17">
        <v>1</v>
      </c>
      <c r="M17">
        <v>0</v>
      </c>
      <c r="O17">
        <v>23.8</v>
      </c>
      <c r="P17">
        <v>-3.39653683609761</v>
      </c>
    </row>
    <row r="18" spans="1:16" x14ac:dyDescent="0.25">
      <c r="A18">
        <v>100</v>
      </c>
      <c r="B18">
        <v>10.3</v>
      </c>
      <c r="C18">
        <v>28.9</v>
      </c>
      <c r="D18">
        <v>48.5</v>
      </c>
      <c r="E18">
        <v>7.5</v>
      </c>
      <c r="F18">
        <v>10.199999999999999</v>
      </c>
      <c r="G18">
        <v>16</v>
      </c>
      <c r="H18">
        <v>-3.3212834969737601</v>
      </c>
      <c r="I18">
        <v>0.140903962630125</v>
      </c>
      <c r="J18">
        <v>0.536812856670565</v>
      </c>
      <c r="K18">
        <v>-23.5712568687096</v>
      </c>
      <c r="L18">
        <v>1</v>
      </c>
      <c r="M18">
        <v>1</v>
      </c>
      <c r="O18">
        <v>31.7</v>
      </c>
      <c r="P18">
        <v>-3.38460035118417</v>
      </c>
    </row>
    <row r="19" spans="1:16" x14ac:dyDescent="0.25">
      <c r="A19">
        <v>134</v>
      </c>
      <c r="B19">
        <v>9.5</v>
      </c>
      <c r="C19">
        <v>34.299999999999997</v>
      </c>
      <c r="D19">
        <v>44.3</v>
      </c>
      <c r="E19">
        <v>11</v>
      </c>
      <c r="F19">
        <v>6</v>
      </c>
      <c r="G19">
        <v>13.9</v>
      </c>
      <c r="H19">
        <v>-3.3206689560229701</v>
      </c>
      <c r="I19">
        <v>0.120853282844422</v>
      </c>
      <c r="J19">
        <v>0.52296767681298795</v>
      </c>
      <c r="K19">
        <v>-27.476861843279401</v>
      </c>
      <c r="L19">
        <v>1</v>
      </c>
      <c r="M19">
        <v>0</v>
      </c>
      <c r="O19">
        <v>27</v>
      </c>
      <c r="P19">
        <v>-3.3642459749392901</v>
      </c>
    </row>
    <row r="20" spans="1:16" x14ac:dyDescent="0.25">
      <c r="A20">
        <v>35</v>
      </c>
      <c r="B20">
        <v>9.1999999999999993</v>
      </c>
      <c r="C20">
        <v>31.6</v>
      </c>
      <c r="D20">
        <v>51.9</v>
      </c>
      <c r="E20">
        <v>8.5</v>
      </c>
      <c r="F20">
        <v>17.5</v>
      </c>
      <c r="G20">
        <v>19.5</v>
      </c>
      <c r="H20">
        <v>-3.31851482674442</v>
      </c>
      <c r="I20">
        <v>0.15493113279665299</v>
      </c>
      <c r="J20">
        <v>0.535404761003201</v>
      </c>
      <c r="K20">
        <v>-21.419289763407001</v>
      </c>
      <c r="L20">
        <v>1</v>
      </c>
      <c r="M20">
        <v>0</v>
      </c>
      <c r="O20">
        <v>27.6</v>
      </c>
      <c r="P20">
        <v>-3.3522516235953201</v>
      </c>
    </row>
    <row r="21" spans="1:16" x14ac:dyDescent="0.25">
      <c r="A21">
        <v>45</v>
      </c>
      <c r="B21">
        <v>9.1</v>
      </c>
      <c r="C21">
        <v>22.6</v>
      </c>
      <c r="D21">
        <v>55.9</v>
      </c>
      <c r="E21">
        <v>5.8</v>
      </c>
      <c r="F21">
        <v>5.5</v>
      </c>
      <c r="G21">
        <v>13.3</v>
      </c>
      <c r="H21">
        <v>-3.3182637435321101</v>
      </c>
      <c r="I21">
        <v>0.11826916247150999</v>
      </c>
      <c r="J21">
        <v>0.552706649165429</v>
      </c>
      <c r="K21">
        <v>-28.056880375148001</v>
      </c>
      <c r="L21">
        <v>1</v>
      </c>
      <c r="M21">
        <v>1</v>
      </c>
      <c r="O21">
        <v>33.5</v>
      </c>
      <c r="P21">
        <v>-3.34545328571852</v>
      </c>
    </row>
    <row r="22" spans="1:16" x14ac:dyDescent="0.25">
      <c r="A22">
        <v>150</v>
      </c>
      <c r="B22">
        <v>10.6</v>
      </c>
      <c r="C22">
        <v>28.7</v>
      </c>
      <c r="D22">
        <v>48.1</v>
      </c>
      <c r="E22">
        <v>11.4</v>
      </c>
      <c r="F22">
        <v>15.7</v>
      </c>
      <c r="G22">
        <v>12.2</v>
      </c>
      <c r="H22">
        <v>-3.2943086569873099</v>
      </c>
      <c r="I22">
        <v>0.150313227953847</v>
      </c>
      <c r="J22">
        <v>0.539155670664484</v>
      </c>
      <c r="K22">
        <v>-21.916292410397801</v>
      </c>
      <c r="L22">
        <v>1</v>
      </c>
      <c r="M22">
        <v>1</v>
      </c>
      <c r="O22">
        <v>33.700000000000003</v>
      </c>
      <c r="P22">
        <v>-3.3435926544025798</v>
      </c>
    </row>
    <row r="23" spans="1:16" x14ac:dyDescent="0.25">
      <c r="A23">
        <v>146</v>
      </c>
      <c r="B23">
        <v>10.7</v>
      </c>
      <c r="C23">
        <v>32.4</v>
      </c>
      <c r="D23">
        <v>40.9</v>
      </c>
      <c r="E23">
        <v>16.7</v>
      </c>
      <c r="F23">
        <v>5.4</v>
      </c>
      <c r="G23">
        <v>16.5</v>
      </c>
      <c r="H23">
        <v>-3.2889205774525201</v>
      </c>
      <c r="I23">
        <v>0.124227637944489</v>
      </c>
      <c r="J23">
        <v>0.51724847127710105</v>
      </c>
      <c r="K23">
        <v>-26.474950597725702</v>
      </c>
      <c r="L23">
        <v>1</v>
      </c>
      <c r="M23">
        <v>0</v>
      </c>
      <c r="O23">
        <v>23.3</v>
      </c>
      <c r="P23">
        <v>-3.3421170102553499</v>
      </c>
    </row>
    <row r="24" spans="1:16" x14ac:dyDescent="0.25">
      <c r="A24">
        <v>60</v>
      </c>
      <c r="B24">
        <v>10.4</v>
      </c>
      <c r="C24">
        <v>33</v>
      </c>
      <c r="D24">
        <v>52.5</v>
      </c>
      <c r="E24">
        <v>12.3</v>
      </c>
      <c r="F24">
        <v>11.4</v>
      </c>
      <c r="G24">
        <v>11.9</v>
      </c>
      <c r="H24">
        <v>-3.2843224696165101</v>
      </c>
      <c r="I24">
        <v>0.16889886345032101</v>
      </c>
      <c r="J24">
        <v>0.53175823588135596</v>
      </c>
      <c r="K24">
        <v>-19.4454977524613</v>
      </c>
      <c r="L24">
        <v>1</v>
      </c>
      <c r="M24">
        <v>1</v>
      </c>
      <c r="O24">
        <v>32.700000000000003</v>
      </c>
      <c r="P24">
        <v>-3.3340975411252902</v>
      </c>
    </row>
    <row r="25" spans="1:16" x14ac:dyDescent="0.25">
      <c r="A25">
        <v>47</v>
      </c>
      <c r="B25">
        <v>10.1</v>
      </c>
      <c r="C25">
        <v>34.9</v>
      </c>
      <c r="D25">
        <v>42.7</v>
      </c>
      <c r="E25">
        <v>8.6999999999999993</v>
      </c>
      <c r="F25">
        <v>16.100000000000001</v>
      </c>
      <c r="G25">
        <v>17.399999999999999</v>
      </c>
      <c r="H25">
        <v>-3.2567820621156902</v>
      </c>
      <c r="I25">
        <v>0.14257884936839099</v>
      </c>
      <c r="J25">
        <v>0.509851075426763</v>
      </c>
      <c r="K25">
        <v>-22.841971839041101</v>
      </c>
      <c r="L25">
        <v>1</v>
      </c>
      <c r="M25">
        <v>1</v>
      </c>
      <c r="O25">
        <v>28.9</v>
      </c>
      <c r="P25">
        <v>-3.3212834969737601</v>
      </c>
    </row>
    <row r="26" spans="1:16" x14ac:dyDescent="0.25">
      <c r="A26">
        <v>89</v>
      </c>
      <c r="B26">
        <v>9.1999999999999993</v>
      </c>
      <c r="C26">
        <v>30.1</v>
      </c>
      <c r="D26">
        <v>46.3</v>
      </c>
      <c r="E26">
        <v>5.3</v>
      </c>
      <c r="F26">
        <v>16.8</v>
      </c>
      <c r="G26">
        <v>11.1</v>
      </c>
      <c r="H26">
        <v>-3.25162346963375</v>
      </c>
      <c r="I26">
        <v>0.13534570854429701</v>
      </c>
      <c r="J26">
        <v>0.52502166691591401</v>
      </c>
      <c r="K26">
        <v>-24.0245775400372</v>
      </c>
      <c r="L26">
        <v>1</v>
      </c>
      <c r="M26">
        <v>0</v>
      </c>
      <c r="O26">
        <v>34.299999999999997</v>
      </c>
      <c r="P26">
        <v>-3.3206689560229701</v>
      </c>
    </row>
    <row r="27" spans="1:16" x14ac:dyDescent="0.25">
      <c r="A27">
        <v>14</v>
      </c>
      <c r="B27">
        <v>10.8</v>
      </c>
      <c r="C27">
        <v>21.6</v>
      </c>
      <c r="D27">
        <v>59.1</v>
      </c>
      <c r="E27">
        <v>7.8</v>
      </c>
      <c r="F27">
        <v>7</v>
      </c>
      <c r="G27">
        <v>9.3000000000000007</v>
      </c>
      <c r="H27">
        <v>-3.2389452918926498</v>
      </c>
      <c r="I27">
        <v>0.150380273279731</v>
      </c>
      <c r="J27">
        <v>0.53901500421176496</v>
      </c>
      <c r="K27">
        <v>-21.538365513325601</v>
      </c>
      <c r="L27">
        <v>0</v>
      </c>
      <c r="M27">
        <v>1</v>
      </c>
      <c r="O27">
        <v>31.6</v>
      </c>
      <c r="P27">
        <v>-3.31851482674442</v>
      </c>
    </row>
    <row r="28" spans="1:16" x14ac:dyDescent="0.25">
      <c r="A28">
        <v>10</v>
      </c>
      <c r="B28">
        <v>10.9</v>
      </c>
      <c r="C28">
        <v>32.9</v>
      </c>
      <c r="D28">
        <v>49.7</v>
      </c>
      <c r="E28">
        <v>15.9</v>
      </c>
      <c r="F28">
        <v>17.8</v>
      </c>
      <c r="G28">
        <v>15.5</v>
      </c>
      <c r="H28">
        <v>-3.2371806874323101</v>
      </c>
      <c r="I28">
        <v>0.19420606788584199</v>
      </c>
      <c r="J28">
        <v>0.53103857438149804</v>
      </c>
      <c r="K28">
        <v>-16.6687927039189</v>
      </c>
      <c r="L28">
        <v>1</v>
      </c>
      <c r="M28">
        <v>0.5</v>
      </c>
      <c r="O28">
        <v>22.6</v>
      </c>
      <c r="P28">
        <v>-3.3182637435321101</v>
      </c>
    </row>
    <row r="29" spans="1:16" x14ac:dyDescent="0.25">
      <c r="A29">
        <v>122</v>
      </c>
      <c r="B29">
        <v>10.8</v>
      </c>
      <c r="C29">
        <v>34</v>
      </c>
      <c r="D29">
        <v>48.7</v>
      </c>
      <c r="E29">
        <v>11.2</v>
      </c>
      <c r="F29">
        <v>10.8</v>
      </c>
      <c r="G29">
        <v>15.7</v>
      </c>
      <c r="H29">
        <v>-3.22165570870109</v>
      </c>
      <c r="I29">
        <v>0.168766697881917</v>
      </c>
      <c r="J29">
        <v>0.51371297243421099</v>
      </c>
      <c r="K29">
        <v>-19.089404184202301</v>
      </c>
      <c r="L29">
        <v>1</v>
      </c>
      <c r="M29">
        <v>1</v>
      </c>
      <c r="O29">
        <v>28.7</v>
      </c>
      <c r="P29">
        <v>-3.2943086569873099</v>
      </c>
    </row>
    <row r="30" spans="1:16" x14ac:dyDescent="0.25">
      <c r="A30">
        <v>111</v>
      </c>
      <c r="B30">
        <v>10.9</v>
      </c>
      <c r="C30">
        <v>28</v>
      </c>
      <c r="D30">
        <v>46.9</v>
      </c>
      <c r="E30">
        <v>11.5</v>
      </c>
      <c r="F30">
        <v>19.899999999999999</v>
      </c>
      <c r="G30">
        <v>10.7</v>
      </c>
      <c r="H30">
        <v>-3.2142895308916901</v>
      </c>
      <c r="I30">
        <v>0.15503663470225601</v>
      </c>
      <c r="J30">
        <v>0.52459734737978403</v>
      </c>
      <c r="K30">
        <v>-20.732451636767301</v>
      </c>
      <c r="L30">
        <v>1</v>
      </c>
      <c r="M30">
        <v>0</v>
      </c>
      <c r="O30">
        <v>32.4</v>
      </c>
      <c r="P30">
        <v>-3.2889205774525201</v>
      </c>
    </row>
    <row r="31" spans="1:16" x14ac:dyDescent="0.25">
      <c r="A31">
        <v>25</v>
      </c>
      <c r="B31">
        <v>8.6999999999999993</v>
      </c>
      <c r="C31">
        <v>25</v>
      </c>
      <c r="D31">
        <v>57.3</v>
      </c>
      <c r="E31">
        <v>7.1</v>
      </c>
      <c r="F31">
        <v>18</v>
      </c>
      <c r="G31">
        <v>19.2</v>
      </c>
      <c r="H31">
        <v>-3.1916907850202101</v>
      </c>
      <c r="I31">
        <v>0.15784511552385999</v>
      </c>
      <c r="J31">
        <v>0.53161253455808999</v>
      </c>
      <c r="K31">
        <v>-20.2203962690105</v>
      </c>
      <c r="L31">
        <v>1</v>
      </c>
      <c r="M31">
        <v>0</v>
      </c>
      <c r="O31">
        <v>33</v>
      </c>
      <c r="P31">
        <v>-3.2843224696165101</v>
      </c>
    </row>
    <row r="32" spans="1:16" x14ac:dyDescent="0.25">
      <c r="A32">
        <v>51</v>
      </c>
      <c r="B32">
        <v>10.5</v>
      </c>
      <c r="C32">
        <v>30.6</v>
      </c>
      <c r="D32">
        <v>46.1</v>
      </c>
      <c r="E32">
        <v>16</v>
      </c>
      <c r="F32">
        <v>19</v>
      </c>
      <c r="G32">
        <v>12.4</v>
      </c>
      <c r="H32">
        <v>-3.1817997052445302</v>
      </c>
      <c r="I32">
        <v>0.154976841804572</v>
      </c>
      <c r="J32">
        <v>0.51586760154119404</v>
      </c>
      <c r="K32">
        <v>-20.5308074948179</v>
      </c>
      <c r="L32">
        <v>1</v>
      </c>
      <c r="M32">
        <v>0</v>
      </c>
      <c r="O32">
        <v>34.9</v>
      </c>
      <c r="P32">
        <v>-3.2567820621156902</v>
      </c>
    </row>
    <row r="33" spans="1:16" x14ac:dyDescent="0.25">
      <c r="A33">
        <v>42</v>
      </c>
      <c r="B33">
        <v>10</v>
      </c>
      <c r="C33">
        <v>30.5</v>
      </c>
      <c r="D33">
        <v>41.5</v>
      </c>
      <c r="E33">
        <v>5.7</v>
      </c>
      <c r="F33">
        <v>11</v>
      </c>
      <c r="G33">
        <v>9.6999999999999993</v>
      </c>
      <c r="H33">
        <v>-3.1815055353560799</v>
      </c>
      <c r="I33">
        <v>0.118515113705479</v>
      </c>
      <c r="J33">
        <v>0.50015874642528202</v>
      </c>
      <c r="K33">
        <v>-26.844724152755798</v>
      </c>
      <c r="L33">
        <v>1</v>
      </c>
      <c r="M33">
        <v>1</v>
      </c>
      <c r="O33">
        <v>30.1</v>
      </c>
      <c r="P33">
        <v>-3.25162346963375</v>
      </c>
    </row>
    <row r="34" spans="1:16" x14ac:dyDescent="0.25">
      <c r="A34">
        <v>71</v>
      </c>
      <c r="B34">
        <v>10.5</v>
      </c>
      <c r="C34">
        <v>33.200000000000003</v>
      </c>
      <c r="D34">
        <v>50.3</v>
      </c>
      <c r="E34">
        <v>17.100000000000001</v>
      </c>
      <c r="F34">
        <v>17.399999999999999</v>
      </c>
      <c r="G34">
        <v>18.8</v>
      </c>
      <c r="H34">
        <v>-3.1788115402844999</v>
      </c>
      <c r="I34">
        <v>0.17822738184821099</v>
      </c>
      <c r="J34">
        <v>0.51276120352283205</v>
      </c>
      <c r="K34">
        <v>-17.835708000198</v>
      </c>
      <c r="L34">
        <v>1</v>
      </c>
      <c r="M34">
        <v>0</v>
      </c>
      <c r="O34">
        <v>32.9</v>
      </c>
      <c r="P34">
        <v>-3.2371806874323101</v>
      </c>
    </row>
    <row r="35" spans="1:16" x14ac:dyDescent="0.25">
      <c r="A35">
        <v>28</v>
      </c>
      <c r="B35">
        <v>10.6</v>
      </c>
      <c r="C35">
        <v>30.2</v>
      </c>
      <c r="D35">
        <v>47.9</v>
      </c>
      <c r="E35">
        <v>15.8</v>
      </c>
      <c r="F35">
        <v>12.7</v>
      </c>
      <c r="G35">
        <v>10.9</v>
      </c>
      <c r="H35">
        <v>-3.1782239658389901</v>
      </c>
      <c r="I35">
        <v>0.15387905038734201</v>
      </c>
      <c r="J35">
        <v>0.51378699302249398</v>
      </c>
      <c r="K35">
        <v>-20.654039375982599</v>
      </c>
      <c r="L35">
        <v>1</v>
      </c>
      <c r="M35">
        <v>0</v>
      </c>
      <c r="O35">
        <v>34</v>
      </c>
      <c r="P35">
        <v>-3.22165570870109</v>
      </c>
    </row>
    <row r="36" spans="1:16" x14ac:dyDescent="0.25">
      <c r="A36">
        <v>85</v>
      </c>
      <c r="B36">
        <v>10.9</v>
      </c>
      <c r="C36">
        <v>22.5</v>
      </c>
      <c r="D36">
        <v>48.9</v>
      </c>
      <c r="E36">
        <v>5.2</v>
      </c>
      <c r="F36">
        <v>7.4</v>
      </c>
      <c r="G36">
        <v>9.8000000000000007</v>
      </c>
      <c r="H36">
        <v>-3.1627487960993301</v>
      </c>
      <c r="I36">
        <v>0.12841357749944299</v>
      </c>
      <c r="J36">
        <v>0.51882379955965097</v>
      </c>
      <c r="K36">
        <v>-24.629395564601001</v>
      </c>
      <c r="L36">
        <v>1</v>
      </c>
      <c r="M36">
        <v>1</v>
      </c>
      <c r="O36">
        <v>28</v>
      </c>
      <c r="P36">
        <v>-3.2142895308916901</v>
      </c>
    </row>
    <row r="37" spans="1:16" x14ac:dyDescent="0.25">
      <c r="A37">
        <v>97</v>
      </c>
      <c r="B37">
        <v>9.3000000000000007</v>
      </c>
      <c r="C37">
        <v>27.8</v>
      </c>
      <c r="D37">
        <v>47.1</v>
      </c>
      <c r="E37">
        <v>6.5</v>
      </c>
      <c r="F37">
        <v>19.100000000000001</v>
      </c>
      <c r="G37">
        <v>18.600000000000001</v>
      </c>
      <c r="H37">
        <v>-3.1576564924058399</v>
      </c>
      <c r="I37">
        <v>0.14245776422305401</v>
      </c>
      <c r="J37">
        <v>0.51219045742879399</v>
      </c>
      <c r="K37">
        <v>-22.165562611678499</v>
      </c>
      <c r="L37">
        <v>1</v>
      </c>
      <c r="M37">
        <v>0</v>
      </c>
      <c r="O37">
        <v>25</v>
      </c>
      <c r="P37">
        <v>-3.1916907850202101</v>
      </c>
    </row>
    <row r="38" spans="1:16" x14ac:dyDescent="0.25">
      <c r="A38">
        <v>59</v>
      </c>
      <c r="B38">
        <v>11</v>
      </c>
      <c r="C38">
        <v>20.3</v>
      </c>
      <c r="D38">
        <v>56.1</v>
      </c>
      <c r="E38">
        <v>20</v>
      </c>
      <c r="F38">
        <v>12.6</v>
      </c>
      <c r="G38">
        <v>16.2</v>
      </c>
      <c r="H38">
        <v>-3.1299098568925698</v>
      </c>
      <c r="I38">
        <v>0.16241984192956899</v>
      </c>
      <c r="J38">
        <v>0.52495968290712902</v>
      </c>
      <c r="K38">
        <v>-19.2704894901314</v>
      </c>
      <c r="L38">
        <v>1</v>
      </c>
      <c r="M38">
        <v>0</v>
      </c>
      <c r="O38">
        <v>30.6</v>
      </c>
      <c r="P38">
        <v>-3.1817997052445302</v>
      </c>
    </row>
    <row r="39" spans="1:16" x14ac:dyDescent="0.25">
      <c r="A39">
        <v>124</v>
      </c>
      <c r="B39">
        <v>8.6</v>
      </c>
      <c r="C39">
        <v>23.1</v>
      </c>
      <c r="D39">
        <v>56.5</v>
      </c>
      <c r="E39">
        <v>12.7</v>
      </c>
      <c r="F39">
        <v>18.3</v>
      </c>
      <c r="G39">
        <v>8.4</v>
      </c>
      <c r="H39">
        <v>-3.1217414559893402</v>
      </c>
      <c r="I39">
        <v>0.15482160212410501</v>
      </c>
      <c r="J39">
        <v>0.53231850825000304</v>
      </c>
      <c r="K39">
        <v>-20.163474690611601</v>
      </c>
      <c r="L39">
        <v>1</v>
      </c>
      <c r="M39">
        <v>0</v>
      </c>
      <c r="O39">
        <v>30.5</v>
      </c>
      <c r="P39">
        <v>-3.1815055353560799</v>
      </c>
    </row>
    <row r="40" spans="1:16" x14ac:dyDescent="0.25">
      <c r="A40">
        <v>102</v>
      </c>
      <c r="B40">
        <v>9.6</v>
      </c>
      <c r="C40">
        <v>32.1</v>
      </c>
      <c r="D40">
        <v>55.5</v>
      </c>
      <c r="E40">
        <v>16.5</v>
      </c>
      <c r="F40">
        <v>17.7</v>
      </c>
      <c r="G40">
        <v>9.1999999999999993</v>
      </c>
      <c r="H40">
        <v>-3.11907277027864</v>
      </c>
      <c r="I40">
        <v>0.18689943924586699</v>
      </c>
      <c r="J40">
        <v>0.51351254486741205</v>
      </c>
      <c r="K40">
        <v>-16.688507910264399</v>
      </c>
      <c r="L40">
        <v>1</v>
      </c>
      <c r="M40">
        <v>0</v>
      </c>
      <c r="O40">
        <v>33.200000000000003</v>
      </c>
      <c r="P40">
        <v>-3.1788115402844999</v>
      </c>
    </row>
    <row r="41" spans="1:16" x14ac:dyDescent="0.25">
      <c r="A41">
        <v>140</v>
      </c>
      <c r="B41">
        <v>10</v>
      </c>
      <c r="C41">
        <v>23.2</v>
      </c>
      <c r="D41">
        <v>57.1</v>
      </c>
      <c r="E41">
        <v>9.6</v>
      </c>
      <c r="F41">
        <v>16.600000000000001</v>
      </c>
      <c r="G41">
        <v>13.1</v>
      </c>
      <c r="H41">
        <v>-3.1086916253072001</v>
      </c>
      <c r="I41">
        <v>0.162338084214151</v>
      </c>
      <c r="J41">
        <v>0.51545282013607496</v>
      </c>
      <c r="K41">
        <v>-19.149490646977799</v>
      </c>
      <c r="L41">
        <v>1</v>
      </c>
      <c r="M41">
        <v>0</v>
      </c>
      <c r="O41">
        <v>30.2</v>
      </c>
      <c r="P41">
        <v>-3.1782239658389901</v>
      </c>
    </row>
    <row r="42" spans="1:16" x14ac:dyDescent="0.25">
      <c r="A42">
        <v>44</v>
      </c>
      <c r="B42">
        <v>9.5</v>
      </c>
      <c r="C42">
        <v>27.7</v>
      </c>
      <c r="D42">
        <v>59.7</v>
      </c>
      <c r="E42">
        <v>19</v>
      </c>
      <c r="F42">
        <v>7.3</v>
      </c>
      <c r="G42">
        <v>5.4</v>
      </c>
      <c r="H42">
        <v>-3.1055961252196602</v>
      </c>
      <c r="I42">
        <v>0.172129674830026</v>
      </c>
      <c r="J42">
        <v>0.512723307127668</v>
      </c>
      <c r="K42">
        <v>-18.042188996675598</v>
      </c>
      <c r="L42">
        <v>1</v>
      </c>
      <c r="M42">
        <v>0</v>
      </c>
      <c r="O42">
        <v>22.5</v>
      </c>
      <c r="P42">
        <v>-3.1627487960993301</v>
      </c>
    </row>
    <row r="43" spans="1:16" x14ac:dyDescent="0.25">
      <c r="A43">
        <v>125</v>
      </c>
      <c r="B43">
        <v>9.1</v>
      </c>
      <c r="C43">
        <v>24.9</v>
      </c>
      <c r="D43">
        <v>47.3</v>
      </c>
      <c r="E43">
        <v>6.8</v>
      </c>
      <c r="F43">
        <v>12.2</v>
      </c>
      <c r="G43">
        <v>11.7</v>
      </c>
      <c r="H43">
        <v>-3.09657751472594</v>
      </c>
      <c r="I43">
        <v>0.129504220613997</v>
      </c>
      <c r="J43">
        <v>0.50931971760521799</v>
      </c>
      <c r="K43">
        <v>-23.911016181902301</v>
      </c>
      <c r="L43">
        <v>1</v>
      </c>
      <c r="M43">
        <v>0</v>
      </c>
      <c r="O43">
        <v>27.8</v>
      </c>
      <c r="P43">
        <v>-3.1576564924058399</v>
      </c>
    </row>
    <row r="44" spans="1:16" x14ac:dyDescent="0.25">
      <c r="A44">
        <v>81</v>
      </c>
      <c r="B44">
        <v>8.3000000000000007</v>
      </c>
      <c r="C44">
        <v>24.2</v>
      </c>
      <c r="D44">
        <v>58.5</v>
      </c>
      <c r="E44">
        <v>6.4</v>
      </c>
      <c r="F44">
        <v>11.8</v>
      </c>
      <c r="G44">
        <v>10.3</v>
      </c>
      <c r="H44">
        <v>-3.0824316095075601</v>
      </c>
      <c r="I44">
        <v>0.152558749629918</v>
      </c>
      <c r="J44">
        <v>0.51268440307274399</v>
      </c>
      <c r="K44">
        <v>-20.204882492711999</v>
      </c>
      <c r="L44">
        <v>1</v>
      </c>
      <c r="M44">
        <v>0</v>
      </c>
      <c r="O44">
        <v>20.3</v>
      </c>
      <c r="P44">
        <v>-3.1299098568925698</v>
      </c>
    </row>
    <row r="45" spans="1:16" x14ac:dyDescent="0.25">
      <c r="A45">
        <v>16</v>
      </c>
      <c r="B45">
        <v>9.3000000000000007</v>
      </c>
      <c r="C45">
        <v>26</v>
      </c>
      <c r="D45">
        <v>57.7</v>
      </c>
      <c r="E45">
        <v>13.5</v>
      </c>
      <c r="F45">
        <v>12.4</v>
      </c>
      <c r="G45">
        <v>19</v>
      </c>
      <c r="H45">
        <v>-3.07432222806171</v>
      </c>
      <c r="I45">
        <v>0.169860823832373</v>
      </c>
      <c r="J45">
        <v>0.50642501201366197</v>
      </c>
      <c r="K45">
        <v>-18.099065803987799</v>
      </c>
      <c r="L45">
        <v>1</v>
      </c>
      <c r="M45">
        <v>0</v>
      </c>
      <c r="O45">
        <v>23.1</v>
      </c>
      <c r="P45">
        <v>-3.1217414559893402</v>
      </c>
    </row>
    <row r="46" spans="1:16" x14ac:dyDescent="0.25">
      <c r="A46">
        <v>63</v>
      </c>
      <c r="B46">
        <v>10.9</v>
      </c>
      <c r="C46">
        <v>26.6</v>
      </c>
      <c r="D46">
        <v>37.1</v>
      </c>
      <c r="E46">
        <v>9.4</v>
      </c>
      <c r="F46">
        <v>5.2</v>
      </c>
      <c r="G46">
        <v>17.899999999999999</v>
      </c>
      <c r="H46">
        <v>-3.0739308001920702</v>
      </c>
      <c r="I46">
        <v>9.6434416962947203E-2</v>
      </c>
      <c r="J46">
        <v>0.47618623994448001</v>
      </c>
      <c r="K46">
        <v>-31.8758685643649</v>
      </c>
      <c r="L46">
        <v>1</v>
      </c>
      <c r="M46">
        <v>1</v>
      </c>
      <c r="O46">
        <v>32.1</v>
      </c>
      <c r="P46">
        <v>-3.11907277027864</v>
      </c>
    </row>
    <row r="47" spans="1:16" x14ac:dyDescent="0.25">
      <c r="A47">
        <v>69</v>
      </c>
      <c r="B47">
        <v>9.4</v>
      </c>
      <c r="C47">
        <v>21.1</v>
      </c>
      <c r="D47">
        <v>58.1</v>
      </c>
      <c r="E47">
        <v>16.600000000000001</v>
      </c>
      <c r="F47">
        <v>19.600000000000001</v>
      </c>
      <c r="G47">
        <v>8.6</v>
      </c>
      <c r="H47">
        <v>-3.0677164034037299</v>
      </c>
      <c r="I47">
        <v>0.16065747964987101</v>
      </c>
      <c r="J47">
        <v>0.52127152877757699</v>
      </c>
      <c r="K47">
        <v>-19.0947624106226</v>
      </c>
      <c r="L47">
        <v>1</v>
      </c>
      <c r="M47">
        <v>0</v>
      </c>
      <c r="O47">
        <v>23.2</v>
      </c>
      <c r="P47">
        <v>-3.1086916253072001</v>
      </c>
    </row>
    <row r="48" spans="1:16" x14ac:dyDescent="0.25">
      <c r="A48">
        <v>66</v>
      </c>
      <c r="B48">
        <v>10.8</v>
      </c>
      <c r="C48">
        <v>22</v>
      </c>
      <c r="D48">
        <v>41.1</v>
      </c>
      <c r="E48">
        <v>6.9</v>
      </c>
      <c r="F48">
        <v>5.8</v>
      </c>
      <c r="G48">
        <v>10.4</v>
      </c>
      <c r="H48">
        <v>-3.0676221854784398</v>
      </c>
      <c r="I48">
        <v>0.10263587187564201</v>
      </c>
      <c r="J48">
        <v>0.49946629064602199</v>
      </c>
      <c r="K48">
        <v>-29.888401875664702</v>
      </c>
      <c r="L48">
        <v>1</v>
      </c>
      <c r="M48">
        <v>1</v>
      </c>
      <c r="O48">
        <v>27.7</v>
      </c>
      <c r="P48">
        <v>-3.1055961252196602</v>
      </c>
    </row>
    <row r="49" spans="1:16" x14ac:dyDescent="0.25">
      <c r="A49">
        <v>21</v>
      </c>
      <c r="B49">
        <v>8.8000000000000007</v>
      </c>
      <c r="C49">
        <v>22.3</v>
      </c>
      <c r="D49">
        <v>54.5</v>
      </c>
      <c r="E49">
        <v>8.6</v>
      </c>
      <c r="F49">
        <v>14.3</v>
      </c>
      <c r="G49">
        <v>11.8</v>
      </c>
      <c r="H49">
        <v>-3.0668150451103999</v>
      </c>
      <c r="I49">
        <v>0.14836080874916699</v>
      </c>
      <c r="J49">
        <v>0.51681519931662601</v>
      </c>
      <c r="K49">
        <v>-20.6713287084828</v>
      </c>
      <c r="L49">
        <v>1</v>
      </c>
      <c r="M49">
        <v>0</v>
      </c>
      <c r="O49">
        <v>24.9</v>
      </c>
      <c r="P49">
        <v>-3.09657751472594</v>
      </c>
    </row>
    <row r="50" spans="1:16" x14ac:dyDescent="0.25">
      <c r="A50">
        <v>29</v>
      </c>
      <c r="B50">
        <v>9.1999999999999993</v>
      </c>
      <c r="C50">
        <v>27.2</v>
      </c>
      <c r="D50">
        <v>58.9</v>
      </c>
      <c r="E50">
        <v>13.8</v>
      </c>
      <c r="F50">
        <v>8.6999999999999993</v>
      </c>
      <c r="G50">
        <v>18.899999999999999</v>
      </c>
      <c r="H50">
        <v>-3.0653592544982602</v>
      </c>
      <c r="I50">
        <v>0.180429996831663</v>
      </c>
      <c r="J50">
        <v>0.503731418284313</v>
      </c>
      <c r="K50">
        <v>-16.989188651142999</v>
      </c>
      <c r="L50">
        <v>1</v>
      </c>
      <c r="M50">
        <v>0</v>
      </c>
      <c r="O50">
        <v>24.2</v>
      </c>
      <c r="P50">
        <v>-3.0824316095075601</v>
      </c>
    </row>
    <row r="51" spans="1:16" x14ac:dyDescent="0.25">
      <c r="A51">
        <v>6</v>
      </c>
      <c r="B51">
        <v>8.6999999999999993</v>
      </c>
      <c r="C51">
        <v>24.1</v>
      </c>
      <c r="D51">
        <v>47.7</v>
      </c>
      <c r="E51">
        <v>6.6</v>
      </c>
      <c r="F51">
        <v>19.8</v>
      </c>
      <c r="G51">
        <v>12.5</v>
      </c>
      <c r="H51">
        <v>-3.0562307324170499</v>
      </c>
      <c r="I51">
        <v>0.13686809448463599</v>
      </c>
      <c r="J51">
        <v>0.51241471590183396</v>
      </c>
      <c r="K51">
        <v>-22.329752919590199</v>
      </c>
      <c r="L51">
        <v>1</v>
      </c>
      <c r="M51">
        <v>0</v>
      </c>
      <c r="O51">
        <v>26</v>
      </c>
      <c r="P51">
        <v>-3.07432222806171</v>
      </c>
    </row>
    <row r="52" spans="1:16" x14ac:dyDescent="0.25">
      <c r="A52">
        <v>94</v>
      </c>
      <c r="B52">
        <v>8.8000000000000007</v>
      </c>
      <c r="C52">
        <v>28.8</v>
      </c>
      <c r="D52">
        <v>56.3</v>
      </c>
      <c r="E52">
        <v>12.4</v>
      </c>
      <c r="F52">
        <v>13.7</v>
      </c>
      <c r="G52">
        <v>7.7</v>
      </c>
      <c r="H52">
        <v>-3.05373912035662</v>
      </c>
      <c r="I52">
        <v>0.17302334648458001</v>
      </c>
      <c r="J52">
        <v>0.50521900498509897</v>
      </c>
      <c r="K52">
        <v>-17.6492894305958</v>
      </c>
      <c r="L52">
        <v>1</v>
      </c>
      <c r="M52">
        <v>0</v>
      </c>
      <c r="O52">
        <v>26.6</v>
      </c>
      <c r="P52">
        <v>-3.0739308001920702</v>
      </c>
    </row>
    <row r="53" spans="1:16" x14ac:dyDescent="0.25">
      <c r="A53">
        <v>1</v>
      </c>
      <c r="B53">
        <v>10.1</v>
      </c>
      <c r="C53">
        <v>26.5</v>
      </c>
      <c r="D53">
        <v>49.9</v>
      </c>
      <c r="E53">
        <v>17.2</v>
      </c>
      <c r="F53">
        <v>5.0999999999999996</v>
      </c>
      <c r="G53">
        <v>19.7</v>
      </c>
      <c r="H53">
        <v>-3.0526078569716302</v>
      </c>
      <c r="I53">
        <v>0.15280214385843299</v>
      </c>
      <c r="J53">
        <v>0.49638516025347101</v>
      </c>
      <c r="K53">
        <v>-19.977519816736201</v>
      </c>
      <c r="L53">
        <v>1</v>
      </c>
      <c r="M53">
        <v>0</v>
      </c>
      <c r="O53">
        <v>21.1</v>
      </c>
      <c r="P53">
        <v>-3.0677164034037299</v>
      </c>
    </row>
    <row r="54" spans="1:16" x14ac:dyDescent="0.25">
      <c r="A54">
        <v>138</v>
      </c>
      <c r="B54">
        <v>9.6</v>
      </c>
      <c r="C54">
        <v>28.6</v>
      </c>
      <c r="D54">
        <v>52.3</v>
      </c>
      <c r="E54">
        <v>18.399999999999999</v>
      </c>
      <c r="F54">
        <v>14.4</v>
      </c>
      <c r="G54">
        <v>18</v>
      </c>
      <c r="H54">
        <v>-3.05163865097912</v>
      </c>
      <c r="I54">
        <v>0.16814093858037299</v>
      </c>
      <c r="J54">
        <v>0.50149493275279899</v>
      </c>
      <c r="K54">
        <v>-18.149289975090799</v>
      </c>
      <c r="L54">
        <v>1</v>
      </c>
      <c r="M54">
        <v>0</v>
      </c>
      <c r="O54">
        <v>22</v>
      </c>
      <c r="P54">
        <v>-3.0676221854784398</v>
      </c>
    </row>
    <row r="55" spans="1:16" x14ac:dyDescent="0.25">
      <c r="A55">
        <v>68</v>
      </c>
      <c r="B55">
        <v>8.8000000000000007</v>
      </c>
      <c r="C55">
        <v>31.8</v>
      </c>
      <c r="D55">
        <v>39.5</v>
      </c>
      <c r="E55">
        <v>8.1999999999999993</v>
      </c>
      <c r="F55">
        <v>19.2</v>
      </c>
      <c r="G55">
        <v>12.1</v>
      </c>
      <c r="H55">
        <v>-3.0315887241771402</v>
      </c>
      <c r="I55">
        <v>0.13389238130373499</v>
      </c>
      <c r="J55">
        <v>0.48602278912610303</v>
      </c>
      <c r="K55">
        <v>-22.641980780817999</v>
      </c>
      <c r="L55">
        <v>1</v>
      </c>
      <c r="M55">
        <v>0</v>
      </c>
      <c r="O55">
        <v>22.3</v>
      </c>
      <c r="P55">
        <v>-3.0668150451103999</v>
      </c>
    </row>
    <row r="56" spans="1:16" x14ac:dyDescent="0.25">
      <c r="A56">
        <v>107</v>
      </c>
      <c r="B56">
        <v>11</v>
      </c>
      <c r="C56">
        <v>33.4</v>
      </c>
      <c r="D56">
        <v>30.1</v>
      </c>
      <c r="E56">
        <v>13.6</v>
      </c>
      <c r="F56">
        <v>18.8</v>
      </c>
      <c r="G56">
        <v>16.600000000000001</v>
      </c>
      <c r="H56">
        <v>-3.0280607371515198</v>
      </c>
      <c r="I56">
        <v>0.104080796209452</v>
      </c>
      <c r="J56">
        <v>0.45236816962578702</v>
      </c>
      <c r="K56">
        <v>-29.093366379114201</v>
      </c>
      <c r="L56">
        <v>1</v>
      </c>
      <c r="M56">
        <v>1</v>
      </c>
      <c r="O56">
        <v>27.2</v>
      </c>
      <c r="P56">
        <v>-3.0653592544982602</v>
      </c>
    </row>
    <row r="57" spans="1:16" x14ac:dyDescent="0.25">
      <c r="A57">
        <v>55</v>
      </c>
      <c r="B57">
        <v>9.6999999999999993</v>
      </c>
      <c r="C57">
        <v>29.8</v>
      </c>
      <c r="D57">
        <v>46.5</v>
      </c>
      <c r="E57">
        <v>10.8</v>
      </c>
      <c r="F57">
        <v>9.6</v>
      </c>
      <c r="G57">
        <v>6.5</v>
      </c>
      <c r="H57">
        <v>-3.0240166547012</v>
      </c>
      <c r="I57">
        <v>0.14696474172874699</v>
      </c>
      <c r="J57">
        <v>0.48744878440674899</v>
      </c>
      <c r="K57">
        <v>-20.576477181735299</v>
      </c>
      <c r="L57">
        <v>1</v>
      </c>
      <c r="M57">
        <v>0</v>
      </c>
      <c r="O57">
        <v>24.1</v>
      </c>
      <c r="P57">
        <v>-3.0562307324170499</v>
      </c>
    </row>
    <row r="58" spans="1:16" x14ac:dyDescent="0.25">
      <c r="A58">
        <v>46</v>
      </c>
      <c r="B58">
        <v>9.4</v>
      </c>
      <c r="C58">
        <v>31</v>
      </c>
      <c r="D58">
        <v>46.7</v>
      </c>
      <c r="E58">
        <v>10</v>
      </c>
      <c r="F58">
        <v>13.8</v>
      </c>
      <c r="G58">
        <v>9.1</v>
      </c>
      <c r="H58">
        <v>-3.0194160610647001</v>
      </c>
      <c r="I58">
        <v>0.153378969236248</v>
      </c>
      <c r="J58">
        <v>0.48761703372749099</v>
      </c>
      <c r="K58">
        <v>-19.685984826341599</v>
      </c>
      <c r="L58">
        <v>1</v>
      </c>
      <c r="M58">
        <v>0</v>
      </c>
      <c r="O58">
        <v>28.8</v>
      </c>
      <c r="P58">
        <v>-3.05373912035662</v>
      </c>
    </row>
    <row r="59" spans="1:16" x14ac:dyDescent="0.25">
      <c r="A59">
        <v>80</v>
      </c>
      <c r="B59">
        <v>10.8</v>
      </c>
      <c r="C59">
        <v>22.1</v>
      </c>
      <c r="D59">
        <v>51.7</v>
      </c>
      <c r="E59">
        <v>8.1</v>
      </c>
      <c r="F59">
        <v>15.5</v>
      </c>
      <c r="G59">
        <v>17</v>
      </c>
      <c r="H59">
        <v>-3.0155510494336299</v>
      </c>
      <c r="I59">
        <v>0.15556780328595801</v>
      </c>
      <c r="J59">
        <v>0.49524787250208702</v>
      </c>
      <c r="K59">
        <v>-19.384159098078701</v>
      </c>
      <c r="L59">
        <v>1</v>
      </c>
      <c r="M59">
        <v>0</v>
      </c>
      <c r="O59">
        <v>26.5</v>
      </c>
      <c r="P59">
        <v>-3.0526078569716302</v>
      </c>
    </row>
    <row r="60" spans="1:16" x14ac:dyDescent="0.25">
      <c r="A60">
        <v>22</v>
      </c>
      <c r="B60">
        <v>10.3</v>
      </c>
      <c r="C60">
        <v>29.2</v>
      </c>
      <c r="D60">
        <v>45.3</v>
      </c>
      <c r="E60">
        <v>14</v>
      </c>
      <c r="F60">
        <v>11.5</v>
      </c>
      <c r="G60">
        <v>13</v>
      </c>
      <c r="H60">
        <v>-3.0154358094509499</v>
      </c>
      <c r="I60">
        <v>0.15057577096831201</v>
      </c>
      <c r="J60">
        <v>0.485775237723233</v>
      </c>
      <c r="K60">
        <v>-20.0260359954293</v>
      </c>
      <c r="L60">
        <v>1</v>
      </c>
      <c r="M60">
        <v>0</v>
      </c>
      <c r="O60">
        <v>28.6</v>
      </c>
      <c r="P60">
        <v>-3.05163865097912</v>
      </c>
    </row>
    <row r="61" spans="1:16" x14ac:dyDescent="0.25">
      <c r="A61">
        <v>115</v>
      </c>
      <c r="B61">
        <v>10.7</v>
      </c>
      <c r="C61">
        <v>21.3</v>
      </c>
      <c r="D61">
        <v>43.7</v>
      </c>
      <c r="E61">
        <v>16.899999999999999</v>
      </c>
      <c r="F61">
        <v>6.9</v>
      </c>
      <c r="G61">
        <v>11.3</v>
      </c>
      <c r="H61">
        <v>-3.0141212189237998</v>
      </c>
      <c r="I61">
        <v>0.12627475364162999</v>
      </c>
      <c r="J61">
        <v>0.49684489894657002</v>
      </c>
      <c r="K61">
        <v>-23.8695474114954</v>
      </c>
      <c r="L61">
        <v>1</v>
      </c>
      <c r="M61">
        <v>0</v>
      </c>
      <c r="O61">
        <v>31.8</v>
      </c>
      <c r="P61">
        <v>-3.0315887241771402</v>
      </c>
    </row>
    <row r="62" spans="1:16" x14ac:dyDescent="0.25">
      <c r="A62">
        <v>106</v>
      </c>
      <c r="B62">
        <v>10.5</v>
      </c>
      <c r="C62">
        <v>23.4</v>
      </c>
      <c r="D62">
        <v>42.3</v>
      </c>
      <c r="E62">
        <v>9.9</v>
      </c>
      <c r="F62">
        <v>15.2</v>
      </c>
      <c r="G62">
        <v>10.5</v>
      </c>
      <c r="H62">
        <v>-3.0101680067910399</v>
      </c>
      <c r="I62">
        <v>0.130970041547817</v>
      </c>
      <c r="J62">
        <v>0.49363121951258598</v>
      </c>
      <c r="K62">
        <v>-22.983637870283701</v>
      </c>
      <c r="L62">
        <v>1</v>
      </c>
      <c r="M62">
        <v>0</v>
      </c>
      <c r="O62">
        <v>33.4</v>
      </c>
      <c r="P62">
        <v>-3.0280607371515198</v>
      </c>
    </row>
    <row r="63" spans="1:16" x14ac:dyDescent="0.25">
      <c r="A63">
        <v>56</v>
      </c>
      <c r="B63">
        <v>10.4</v>
      </c>
      <c r="C63">
        <v>33.299999999999997</v>
      </c>
      <c r="D63">
        <v>32.9</v>
      </c>
      <c r="E63">
        <v>12.8</v>
      </c>
      <c r="F63">
        <v>10.7</v>
      </c>
      <c r="G63">
        <v>10.1</v>
      </c>
      <c r="H63">
        <v>-3.0093726896283801</v>
      </c>
      <c r="I63">
        <v>9.8840112873337702E-2</v>
      </c>
      <c r="J63">
        <v>0.45000032478935997</v>
      </c>
      <c r="K63">
        <v>-30.446876294899099</v>
      </c>
      <c r="L63">
        <v>1</v>
      </c>
      <c r="M63">
        <v>1</v>
      </c>
      <c r="O63">
        <v>29.8</v>
      </c>
      <c r="P63">
        <v>-3.0240166547012</v>
      </c>
    </row>
    <row r="64" spans="1:16" x14ac:dyDescent="0.25">
      <c r="A64">
        <v>13</v>
      </c>
      <c r="B64">
        <v>10.4</v>
      </c>
      <c r="C64">
        <v>28.5</v>
      </c>
      <c r="D64">
        <v>40.5</v>
      </c>
      <c r="E64">
        <v>13.4</v>
      </c>
      <c r="F64">
        <v>7.7</v>
      </c>
      <c r="G64">
        <v>8.9</v>
      </c>
      <c r="H64">
        <v>-2.98493239341864</v>
      </c>
      <c r="I64">
        <v>0.121770885314335</v>
      </c>
      <c r="J64">
        <v>0.470777590938186</v>
      </c>
      <c r="K64">
        <v>-24.512693536828898</v>
      </c>
      <c r="L64">
        <v>1</v>
      </c>
      <c r="M64">
        <v>0</v>
      </c>
      <c r="O64">
        <v>31</v>
      </c>
      <c r="P64">
        <v>-3.0194160610647001</v>
      </c>
    </row>
    <row r="65" spans="1:16" x14ac:dyDescent="0.25">
      <c r="A65">
        <v>12</v>
      </c>
      <c r="B65">
        <v>10.3</v>
      </c>
      <c r="C65">
        <v>22.2</v>
      </c>
      <c r="D65">
        <v>39.9</v>
      </c>
      <c r="E65">
        <v>13.7</v>
      </c>
      <c r="F65">
        <v>6.2</v>
      </c>
      <c r="G65">
        <v>18.5</v>
      </c>
      <c r="H65">
        <v>-2.9791001316884902</v>
      </c>
      <c r="I65">
        <v>0.108913244562357</v>
      </c>
      <c r="J65">
        <v>0.48094796891846098</v>
      </c>
      <c r="K65">
        <v>-27.352964679909299</v>
      </c>
      <c r="L65">
        <v>1</v>
      </c>
      <c r="M65">
        <v>0.5</v>
      </c>
      <c r="O65">
        <v>22.1</v>
      </c>
      <c r="P65">
        <v>-3.0155510494336299</v>
      </c>
    </row>
    <row r="66" spans="1:16" x14ac:dyDescent="0.25">
      <c r="A66">
        <v>58</v>
      </c>
      <c r="B66">
        <v>10.6</v>
      </c>
      <c r="C66">
        <v>22.4</v>
      </c>
      <c r="D66">
        <v>49.1</v>
      </c>
      <c r="E66">
        <v>18.7</v>
      </c>
      <c r="F66">
        <v>15.8</v>
      </c>
      <c r="G66">
        <v>12.3</v>
      </c>
      <c r="H66">
        <v>-2.9750151797866198</v>
      </c>
      <c r="I66">
        <v>0.15982748563093899</v>
      </c>
      <c r="J66">
        <v>0.50153102069042799</v>
      </c>
      <c r="K66">
        <v>-18.613914672075101</v>
      </c>
      <c r="L66">
        <v>1</v>
      </c>
      <c r="M66">
        <v>0</v>
      </c>
      <c r="O66">
        <v>29.2</v>
      </c>
      <c r="P66">
        <v>-3.0154358094509499</v>
      </c>
    </row>
    <row r="67" spans="1:16" x14ac:dyDescent="0.25">
      <c r="A67">
        <v>53</v>
      </c>
      <c r="B67">
        <v>8.4</v>
      </c>
      <c r="C67">
        <v>34.799999999999997</v>
      </c>
      <c r="D67">
        <v>53.7</v>
      </c>
      <c r="E67">
        <v>7.2</v>
      </c>
      <c r="F67">
        <v>16.3</v>
      </c>
      <c r="G67">
        <v>19.399999999999999</v>
      </c>
      <c r="H67">
        <v>-2.96711701898638</v>
      </c>
      <c r="I67">
        <v>0.19382623254015399</v>
      </c>
      <c r="J67">
        <v>0.480189274974613</v>
      </c>
      <c r="K67">
        <v>-15.308129245981601</v>
      </c>
      <c r="L67">
        <v>0.5</v>
      </c>
      <c r="M67">
        <v>0</v>
      </c>
      <c r="O67">
        <v>21.3</v>
      </c>
      <c r="P67">
        <v>-3.0141212189237998</v>
      </c>
    </row>
    <row r="68" spans="1:16" x14ac:dyDescent="0.25">
      <c r="A68">
        <v>82</v>
      </c>
      <c r="B68">
        <v>10.4</v>
      </c>
      <c r="C68">
        <v>21.9</v>
      </c>
      <c r="D68">
        <v>37.700000000000003</v>
      </c>
      <c r="E68">
        <v>15.4</v>
      </c>
      <c r="F68">
        <v>7.1</v>
      </c>
      <c r="G68">
        <v>5.0999999999999996</v>
      </c>
      <c r="H68">
        <v>-2.96696169282307</v>
      </c>
      <c r="I68">
        <v>9.8102095869855993E-2</v>
      </c>
      <c r="J68">
        <v>0.48374690470508103</v>
      </c>
      <c r="K68">
        <v>-30.2436116834761</v>
      </c>
      <c r="L68">
        <v>1</v>
      </c>
      <c r="M68">
        <v>0.5</v>
      </c>
      <c r="O68">
        <v>23.4</v>
      </c>
      <c r="P68">
        <v>-3.0101680067910399</v>
      </c>
    </row>
    <row r="69" spans="1:16" x14ac:dyDescent="0.25">
      <c r="A69">
        <v>136</v>
      </c>
      <c r="B69">
        <v>8.4</v>
      </c>
      <c r="C69">
        <v>26.1</v>
      </c>
      <c r="D69">
        <v>57.5</v>
      </c>
      <c r="E69">
        <v>15.5</v>
      </c>
      <c r="F69">
        <v>13</v>
      </c>
      <c r="G69">
        <v>16.899999999999999</v>
      </c>
      <c r="H69">
        <v>-2.9668424902622599</v>
      </c>
      <c r="I69">
        <v>0.176382927362319</v>
      </c>
      <c r="J69">
        <v>0.49695697378806403</v>
      </c>
      <c r="K69">
        <v>-16.820462924781101</v>
      </c>
      <c r="L69">
        <v>1</v>
      </c>
      <c r="M69">
        <v>0</v>
      </c>
      <c r="O69">
        <v>33.299999999999997</v>
      </c>
      <c r="P69">
        <v>-3.0093726896283801</v>
      </c>
    </row>
    <row r="70" spans="1:16" x14ac:dyDescent="0.25">
      <c r="A70">
        <v>88</v>
      </c>
      <c r="B70">
        <v>10.199999999999999</v>
      </c>
      <c r="C70">
        <v>26.7</v>
      </c>
      <c r="D70">
        <v>37.299999999999997</v>
      </c>
      <c r="E70">
        <v>6.3</v>
      </c>
      <c r="F70">
        <v>8.8000000000000007</v>
      </c>
      <c r="G70">
        <v>15</v>
      </c>
      <c r="H70">
        <v>-2.9652477219807101</v>
      </c>
      <c r="I70">
        <v>0.105221000672926</v>
      </c>
      <c r="J70">
        <v>0.46270418947605702</v>
      </c>
      <c r="K70">
        <v>-28.1811397251202</v>
      </c>
      <c r="L70">
        <v>1</v>
      </c>
      <c r="M70">
        <v>1</v>
      </c>
      <c r="O70">
        <v>28.5</v>
      </c>
      <c r="P70">
        <v>-2.98493239341864</v>
      </c>
    </row>
    <row r="71" spans="1:16" x14ac:dyDescent="0.25">
      <c r="A71">
        <v>98</v>
      </c>
      <c r="B71">
        <v>10.7</v>
      </c>
      <c r="C71">
        <v>23.5</v>
      </c>
      <c r="D71">
        <v>44.5</v>
      </c>
      <c r="E71">
        <v>19.8</v>
      </c>
      <c r="F71">
        <v>14.6</v>
      </c>
      <c r="G71">
        <v>14.8</v>
      </c>
      <c r="H71">
        <v>-2.96423238156618</v>
      </c>
      <c r="I71">
        <v>0.150198076879105</v>
      </c>
      <c r="J71">
        <v>0.49405552366219102</v>
      </c>
      <c r="K71">
        <v>-19.735488250972001</v>
      </c>
      <c r="L71">
        <v>1</v>
      </c>
      <c r="M71">
        <v>0</v>
      </c>
      <c r="O71">
        <v>22.2</v>
      </c>
      <c r="P71">
        <v>-2.9791001316884902</v>
      </c>
    </row>
    <row r="72" spans="1:16" x14ac:dyDescent="0.25">
      <c r="A72">
        <v>144</v>
      </c>
      <c r="B72">
        <v>9.1</v>
      </c>
      <c r="C72">
        <v>25.9</v>
      </c>
      <c r="D72">
        <v>49.5</v>
      </c>
      <c r="E72">
        <v>12.5</v>
      </c>
      <c r="F72">
        <v>9.8000000000000007</v>
      </c>
      <c r="G72">
        <v>9</v>
      </c>
      <c r="H72">
        <v>-2.96267237628722</v>
      </c>
      <c r="I72">
        <v>0.149721005774373</v>
      </c>
      <c r="J72">
        <v>0.49110411558737499</v>
      </c>
      <c r="K72">
        <v>-19.787954007949299</v>
      </c>
      <c r="L72">
        <v>1</v>
      </c>
      <c r="M72">
        <v>0</v>
      </c>
      <c r="O72">
        <v>22.4</v>
      </c>
      <c r="P72">
        <v>-2.9750151797866198</v>
      </c>
    </row>
    <row r="73" spans="1:16" x14ac:dyDescent="0.25">
      <c r="A73">
        <v>133</v>
      </c>
      <c r="B73">
        <v>11</v>
      </c>
      <c r="C73">
        <v>20.6</v>
      </c>
      <c r="D73">
        <v>45.7</v>
      </c>
      <c r="E73">
        <v>9.1</v>
      </c>
      <c r="F73">
        <v>19.5</v>
      </c>
      <c r="G73">
        <v>15.2</v>
      </c>
      <c r="H73">
        <v>-2.9585707108800698</v>
      </c>
      <c r="I73">
        <v>0.15143118489236601</v>
      </c>
      <c r="J73">
        <v>0.49601524262943902</v>
      </c>
      <c r="K73">
        <v>-19.537393919112102</v>
      </c>
      <c r="L73">
        <v>1</v>
      </c>
      <c r="M73">
        <v>0</v>
      </c>
      <c r="O73">
        <v>21.9</v>
      </c>
      <c r="P73">
        <v>-2.96696169282307</v>
      </c>
    </row>
    <row r="74" spans="1:16" x14ac:dyDescent="0.25">
      <c r="A74">
        <v>67</v>
      </c>
      <c r="B74">
        <v>9.8000000000000007</v>
      </c>
      <c r="C74">
        <v>27.3</v>
      </c>
      <c r="D74">
        <v>47.5</v>
      </c>
      <c r="E74">
        <v>15.3</v>
      </c>
      <c r="F74">
        <v>14.8</v>
      </c>
      <c r="G74">
        <v>14.1</v>
      </c>
      <c r="H74">
        <v>-2.95521018851159</v>
      </c>
      <c r="I74">
        <v>0.16116223006286101</v>
      </c>
      <c r="J74">
        <v>0.48766648014465402</v>
      </c>
      <c r="K74">
        <v>-18.3368658237038</v>
      </c>
      <c r="L74">
        <v>1</v>
      </c>
      <c r="M74">
        <v>0</v>
      </c>
      <c r="O74">
        <v>26.1</v>
      </c>
      <c r="P74">
        <v>-2.9668424902622599</v>
      </c>
    </row>
    <row r="75" spans="1:16" x14ac:dyDescent="0.25">
      <c r="A75">
        <v>19</v>
      </c>
      <c r="B75">
        <v>9.8000000000000007</v>
      </c>
      <c r="C75">
        <v>26.2</v>
      </c>
      <c r="D75">
        <v>44.1</v>
      </c>
      <c r="E75">
        <v>19.100000000000001</v>
      </c>
      <c r="F75">
        <v>16.399999999999999</v>
      </c>
      <c r="G75">
        <v>7</v>
      </c>
      <c r="H75">
        <v>-2.9551020583493202</v>
      </c>
      <c r="I75">
        <v>0.14974427226603099</v>
      </c>
      <c r="J75">
        <v>0.494770003990192</v>
      </c>
      <c r="K75">
        <v>-19.734324482871401</v>
      </c>
      <c r="L75">
        <v>1</v>
      </c>
      <c r="M75">
        <v>0</v>
      </c>
      <c r="O75">
        <v>26.7</v>
      </c>
      <c r="P75">
        <v>-2.9652477219807101</v>
      </c>
    </row>
    <row r="76" spans="1:16" x14ac:dyDescent="0.25">
      <c r="A76">
        <v>117</v>
      </c>
      <c r="B76">
        <v>10.9</v>
      </c>
      <c r="C76">
        <v>20.2</v>
      </c>
      <c r="D76">
        <v>50.5</v>
      </c>
      <c r="E76">
        <v>8.8000000000000007</v>
      </c>
      <c r="F76">
        <v>18.399999999999999</v>
      </c>
      <c r="G76">
        <v>10</v>
      </c>
      <c r="H76">
        <v>-2.9472092924004798</v>
      </c>
      <c r="I76">
        <v>0.155507423032961</v>
      </c>
      <c r="J76">
        <v>0.49308053082936398</v>
      </c>
      <c r="K76">
        <v>-18.952209707544199</v>
      </c>
      <c r="L76">
        <v>1</v>
      </c>
      <c r="M76">
        <v>0</v>
      </c>
      <c r="O76">
        <v>23.5</v>
      </c>
      <c r="P76">
        <v>-2.96423238156618</v>
      </c>
    </row>
    <row r="77" spans="1:16" x14ac:dyDescent="0.25">
      <c r="A77">
        <v>64</v>
      </c>
      <c r="B77">
        <v>9.8000000000000007</v>
      </c>
      <c r="C77">
        <v>21</v>
      </c>
      <c r="D77">
        <v>42.9</v>
      </c>
      <c r="E77">
        <v>10.1</v>
      </c>
      <c r="F77">
        <v>5.6</v>
      </c>
      <c r="G77">
        <v>16.7</v>
      </c>
      <c r="H77">
        <v>-2.9382377386824898</v>
      </c>
      <c r="I77">
        <v>0.114967465116368</v>
      </c>
      <c r="J77">
        <v>0.48157383045954499</v>
      </c>
      <c r="K77">
        <v>-25.557123797662602</v>
      </c>
      <c r="L77">
        <v>1</v>
      </c>
      <c r="M77">
        <v>0</v>
      </c>
      <c r="O77">
        <v>25.9</v>
      </c>
      <c r="P77">
        <v>-2.96267237628722</v>
      </c>
    </row>
    <row r="78" spans="1:16" x14ac:dyDescent="0.25">
      <c r="A78">
        <v>52</v>
      </c>
      <c r="B78">
        <v>9.5</v>
      </c>
      <c r="C78">
        <v>30</v>
      </c>
      <c r="D78">
        <v>45.1</v>
      </c>
      <c r="E78">
        <v>12.1</v>
      </c>
      <c r="F78">
        <v>10.4</v>
      </c>
      <c r="G78">
        <v>13.7</v>
      </c>
      <c r="H78">
        <v>-2.9363673627077098</v>
      </c>
      <c r="I78">
        <v>0.14987278347688399</v>
      </c>
      <c r="J78">
        <v>0.47230056293829298</v>
      </c>
      <c r="K78">
        <v>-19.592398930527601</v>
      </c>
      <c r="L78">
        <v>0.5</v>
      </c>
      <c r="M78">
        <v>0</v>
      </c>
      <c r="O78">
        <v>20.6</v>
      </c>
      <c r="P78">
        <v>-2.9585707108800698</v>
      </c>
    </row>
    <row r="79" spans="1:16" x14ac:dyDescent="0.25">
      <c r="A79">
        <v>145</v>
      </c>
      <c r="B79">
        <v>9</v>
      </c>
      <c r="C79">
        <v>22.8</v>
      </c>
      <c r="D79">
        <v>41.9</v>
      </c>
      <c r="E79">
        <v>5.0999999999999996</v>
      </c>
      <c r="F79">
        <v>9.5</v>
      </c>
      <c r="G79">
        <v>7.5</v>
      </c>
      <c r="H79">
        <v>-2.9317150190343302</v>
      </c>
      <c r="I79">
        <v>0.10866217565443199</v>
      </c>
      <c r="J79">
        <v>0.48099612013274601</v>
      </c>
      <c r="K79">
        <v>-26.980087609857701</v>
      </c>
      <c r="L79">
        <v>1</v>
      </c>
      <c r="M79">
        <v>0</v>
      </c>
      <c r="O79">
        <v>27.3</v>
      </c>
      <c r="P79">
        <v>-2.95521018851159</v>
      </c>
    </row>
    <row r="80" spans="1:16" x14ac:dyDescent="0.25">
      <c r="A80">
        <v>73</v>
      </c>
      <c r="B80">
        <v>10.5</v>
      </c>
      <c r="C80">
        <v>35</v>
      </c>
      <c r="D80">
        <v>34.700000000000003</v>
      </c>
      <c r="E80">
        <v>10.4</v>
      </c>
      <c r="F80">
        <v>18.600000000000001</v>
      </c>
      <c r="G80">
        <v>18.3</v>
      </c>
      <c r="H80">
        <v>-2.9281181489914401</v>
      </c>
      <c r="I80">
        <v>0.122482408706339</v>
      </c>
      <c r="J80">
        <v>0.43320038181296999</v>
      </c>
      <c r="K80">
        <v>-23.906438319741198</v>
      </c>
      <c r="L80">
        <v>1</v>
      </c>
      <c r="M80">
        <v>0</v>
      </c>
      <c r="O80">
        <v>26.2</v>
      </c>
      <c r="P80">
        <v>-2.9551020583493202</v>
      </c>
    </row>
    <row r="81" spans="1:16" x14ac:dyDescent="0.25">
      <c r="A81">
        <v>40</v>
      </c>
      <c r="B81">
        <v>10.7</v>
      </c>
      <c r="C81">
        <v>24.8</v>
      </c>
      <c r="D81">
        <v>35.700000000000003</v>
      </c>
      <c r="E81">
        <v>9.6999999999999993</v>
      </c>
      <c r="F81">
        <v>7.6</v>
      </c>
      <c r="G81">
        <v>7.6</v>
      </c>
      <c r="H81">
        <v>-2.9258771276280999</v>
      </c>
      <c r="I81">
        <v>9.3204986728795902E-2</v>
      </c>
      <c r="J81">
        <v>0.453236145725815</v>
      </c>
      <c r="K81">
        <v>-31.391851770138601</v>
      </c>
      <c r="L81">
        <v>1</v>
      </c>
      <c r="M81">
        <v>0.5</v>
      </c>
      <c r="O81">
        <v>20.2</v>
      </c>
      <c r="P81">
        <v>-2.9472092924004798</v>
      </c>
    </row>
    <row r="82" spans="1:16" x14ac:dyDescent="0.25">
      <c r="A82">
        <v>148</v>
      </c>
      <c r="B82">
        <v>10.4</v>
      </c>
      <c r="C82">
        <v>21.7</v>
      </c>
      <c r="D82">
        <v>52.9</v>
      </c>
      <c r="E82">
        <v>19.7</v>
      </c>
      <c r="F82">
        <v>9.3000000000000007</v>
      </c>
      <c r="G82">
        <v>20</v>
      </c>
      <c r="H82">
        <v>-2.9234506066250998</v>
      </c>
      <c r="I82">
        <v>0.16716861381692</v>
      </c>
      <c r="J82">
        <v>0.48819842294395999</v>
      </c>
      <c r="K82">
        <v>-17.488035223088001</v>
      </c>
      <c r="L82">
        <v>1</v>
      </c>
      <c r="M82">
        <v>0</v>
      </c>
      <c r="O82">
        <v>21</v>
      </c>
      <c r="P82">
        <v>-2.9382377386824898</v>
      </c>
    </row>
    <row r="83" spans="1:16" x14ac:dyDescent="0.25">
      <c r="A83">
        <v>15</v>
      </c>
      <c r="B83">
        <v>9.9</v>
      </c>
      <c r="C83">
        <v>20.399999999999999</v>
      </c>
      <c r="D83">
        <v>43.5</v>
      </c>
      <c r="E83">
        <v>13.2</v>
      </c>
      <c r="F83">
        <v>19.399999999999999</v>
      </c>
      <c r="G83">
        <v>7.1</v>
      </c>
      <c r="H83">
        <v>-2.9219984571380202</v>
      </c>
      <c r="I83">
        <v>0.12943886258079701</v>
      </c>
      <c r="J83">
        <v>0.49409735390273402</v>
      </c>
      <c r="K83">
        <v>-22.574352083123902</v>
      </c>
      <c r="L83">
        <v>1</v>
      </c>
      <c r="M83">
        <v>0</v>
      </c>
      <c r="O83">
        <v>22.8</v>
      </c>
      <c r="P83">
        <v>-2.9317150190343302</v>
      </c>
    </row>
    <row r="84" spans="1:16" x14ac:dyDescent="0.25">
      <c r="A84">
        <v>41</v>
      </c>
      <c r="B84">
        <v>8.9</v>
      </c>
      <c r="C84">
        <v>21.4</v>
      </c>
      <c r="D84">
        <v>49.3</v>
      </c>
      <c r="E84">
        <v>5.6</v>
      </c>
      <c r="F84">
        <v>15.6</v>
      </c>
      <c r="G84">
        <v>19.8</v>
      </c>
      <c r="H84">
        <v>-2.9171796485891202</v>
      </c>
      <c r="I84">
        <v>0.14159814804543899</v>
      </c>
      <c r="J84">
        <v>0.48746562019144202</v>
      </c>
      <c r="K84">
        <v>-20.601820637180801</v>
      </c>
      <c r="L84">
        <v>1</v>
      </c>
      <c r="M84">
        <v>0</v>
      </c>
      <c r="O84">
        <v>35</v>
      </c>
      <c r="P84">
        <v>-2.9281181489914401</v>
      </c>
    </row>
    <row r="85" spans="1:16" x14ac:dyDescent="0.25">
      <c r="A85">
        <v>87</v>
      </c>
      <c r="B85">
        <v>9</v>
      </c>
      <c r="C85">
        <v>26.9</v>
      </c>
      <c r="D85">
        <v>44.9</v>
      </c>
      <c r="E85">
        <v>13</v>
      </c>
      <c r="F85">
        <v>14.7</v>
      </c>
      <c r="G85">
        <v>11.5</v>
      </c>
      <c r="H85">
        <v>-2.9001914670377702</v>
      </c>
      <c r="I85">
        <v>0.14753196588967299</v>
      </c>
      <c r="J85">
        <v>0.48041973675717198</v>
      </c>
      <c r="K85">
        <v>-19.658054778491699</v>
      </c>
      <c r="L85">
        <v>1</v>
      </c>
      <c r="M85">
        <v>0</v>
      </c>
      <c r="O85">
        <v>24.8</v>
      </c>
      <c r="P85">
        <v>-2.9258771276280999</v>
      </c>
    </row>
    <row r="86" spans="1:16" x14ac:dyDescent="0.25">
      <c r="A86">
        <v>33</v>
      </c>
      <c r="B86">
        <v>8.5</v>
      </c>
      <c r="C86">
        <v>23.9</v>
      </c>
      <c r="D86">
        <v>59.5</v>
      </c>
      <c r="E86">
        <v>17</v>
      </c>
      <c r="F86">
        <v>7.2</v>
      </c>
      <c r="G86">
        <v>10.6</v>
      </c>
      <c r="H86">
        <v>-2.8980085654678498</v>
      </c>
      <c r="I86">
        <v>0.184665253806515</v>
      </c>
      <c r="J86">
        <v>0.49151098848313601</v>
      </c>
      <c r="K86">
        <v>-15.6933072450341</v>
      </c>
      <c r="L86">
        <v>1</v>
      </c>
      <c r="M86">
        <v>0</v>
      </c>
      <c r="O86">
        <v>21.7</v>
      </c>
      <c r="P86">
        <v>-2.9234506066250998</v>
      </c>
    </row>
    <row r="87" spans="1:16" x14ac:dyDescent="0.25">
      <c r="A87">
        <v>96</v>
      </c>
      <c r="B87">
        <v>9.5</v>
      </c>
      <c r="C87">
        <v>26.3</v>
      </c>
      <c r="D87">
        <v>45.9</v>
      </c>
      <c r="E87">
        <v>10.3</v>
      </c>
      <c r="F87">
        <v>15.9</v>
      </c>
      <c r="G87">
        <v>9.4</v>
      </c>
      <c r="H87">
        <v>-2.89298600138794</v>
      </c>
      <c r="I87">
        <v>0.15503281004694799</v>
      </c>
      <c r="J87">
        <v>0.47955760377981799</v>
      </c>
      <c r="K87">
        <v>-18.660475808390899</v>
      </c>
      <c r="L87">
        <v>1</v>
      </c>
      <c r="M87">
        <v>0</v>
      </c>
      <c r="O87">
        <v>20.399999999999999</v>
      </c>
      <c r="P87">
        <v>-2.9219984571380202</v>
      </c>
    </row>
    <row r="88" spans="1:16" x14ac:dyDescent="0.25">
      <c r="A88">
        <v>62</v>
      </c>
      <c r="B88">
        <v>9.6</v>
      </c>
      <c r="C88">
        <v>20.8</v>
      </c>
      <c r="D88">
        <v>43.9</v>
      </c>
      <c r="E88">
        <v>7.4</v>
      </c>
      <c r="F88">
        <v>15.1</v>
      </c>
      <c r="G88">
        <v>11.4</v>
      </c>
      <c r="H88">
        <v>-2.8845334082715199</v>
      </c>
      <c r="I88">
        <v>0.12577687138361901</v>
      </c>
      <c r="J88">
        <v>0.47980127121717497</v>
      </c>
      <c r="K88">
        <v>-22.9337347680855</v>
      </c>
      <c r="L88">
        <v>1</v>
      </c>
      <c r="M88">
        <v>0</v>
      </c>
      <c r="O88">
        <v>21.4</v>
      </c>
      <c r="P88">
        <v>-2.9171796485891202</v>
      </c>
    </row>
    <row r="89" spans="1:16" x14ac:dyDescent="0.25">
      <c r="A89">
        <v>18</v>
      </c>
      <c r="B89">
        <v>9.6999999999999993</v>
      </c>
      <c r="C89">
        <v>22.9</v>
      </c>
      <c r="D89">
        <v>32.1</v>
      </c>
      <c r="E89">
        <v>14.1</v>
      </c>
      <c r="F89">
        <v>16.899999999999999</v>
      </c>
      <c r="G89">
        <v>11.2</v>
      </c>
      <c r="H89">
        <v>-2.87930395335133</v>
      </c>
      <c r="I89">
        <v>9.7035660936247506E-2</v>
      </c>
      <c r="J89">
        <v>0.47719087748511602</v>
      </c>
      <c r="K89">
        <v>-29.672637106507</v>
      </c>
      <c r="L89">
        <v>1</v>
      </c>
      <c r="M89">
        <v>1</v>
      </c>
      <c r="O89">
        <v>26.9</v>
      </c>
      <c r="P89">
        <v>-2.9001914670377702</v>
      </c>
    </row>
    <row r="90" spans="1:16" x14ac:dyDescent="0.25">
      <c r="A90">
        <v>114</v>
      </c>
      <c r="B90">
        <v>8.6</v>
      </c>
      <c r="C90">
        <v>25.8</v>
      </c>
      <c r="D90">
        <v>40.700000000000003</v>
      </c>
      <c r="E90">
        <v>7.3</v>
      </c>
      <c r="F90">
        <v>18.2</v>
      </c>
      <c r="G90">
        <v>9.6</v>
      </c>
      <c r="H90">
        <v>-2.8726124277619598</v>
      </c>
      <c r="I90">
        <v>0.13089856671706401</v>
      </c>
      <c r="J90">
        <v>0.47585271141647101</v>
      </c>
      <c r="K90">
        <v>-21.9453314104735</v>
      </c>
      <c r="L90">
        <v>1</v>
      </c>
      <c r="M90">
        <v>0</v>
      </c>
      <c r="O90">
        <v>23.9</v>
      </c>
      <c r="P90">
        <v>-2.8980085654678498</v>
      </c>
    </row>
    <row r="91" spans="1:16" x14ac:dyDescent="0.25">
      <c r="A91">
        <v>105</v>
      </c>
      <c r="B91">
        <v>8.6999999999999993</v>
      </c>
      <c r="C91">
        <v>33.799999999999997</v>
      </c>
      <c r="D91">
        <v>57.9</v>
      </c>
      <c r="E91">
        <v>10.6</v>
      </c>
      <c r="F91">
        <v>15</v>
      </c>
      <c r="G91">
        <v>17.2</v>
      </c>
      <c r="H91">
        <v>-2.8632693798782398</v>
      </c>
      <c r="I91">
        <v>0.21440658264548601</v>
      </c>
      <c r="J91">
        <v>0.46857366211850399</v>
      </c>
      <c r="K91">
        <v>-13.354391197086301</v>
      </c>
      <c r="L91">
        <v>0</v>
      </c>
      <c r="M91">
        <v>0</v>
      </c>
      <c r="O91">
        <v>26.3</v>
      </c>
      <c r="P91">
        <v>-2.89298600138794</v>
      </c>
    </row>
    <row r="92" spans="1:16" x14ac:dyDescent="0.25">
      <c r="A92">
        <v>74</v>
      </c>
      <c r="B92">
        <v>10.3</v>
      </c>
      <c r="C92">
        <v>25.6</v>
      </c>
      <c r="D92">
        <v>35.299999999999997</v>
      </c>
      <c r="E92">
        <v>9.1999999999999993</v>
      </c>
      <c r="F92">
        <v>17.2</v>
      </c>
      <c r="G92">
        <v>17.100000000000001</v>
      </c>
      <c r="H92">
        <v>-2.8555080507814798</v>
      </c>
      <c r="I92">
        <v>0.112328932675932</v>
      </c>
      <c r="J92">
        <v>0.44612868862388799</v>
      </c>
      <c r="K92">
        <v>-25.420948839775502</v>
      </c>
      <c r="L92">
        <v>1</v>
      </c>
      <c r="M92">
        <v>0.5</v>
      </c>
      <c r="O92">
        <v>20.8</v>
      </c>
      <c r="P92">
        <v>-2.8845334082715199</v>
      </c>
    </row>
    <row r="93" spans="1:16" x14ac:dyDescent="0.25">
      <c r="A93">
        <v>78</v>
      </c>
      <c r="B93">
        <v>10.3</v>
      </c>
      <c r="C93">
        <v>20.7</v>
      </c>
      <c r="D93">
        <v>36.299999999999997</v>
      </c>
      <c r="E93">
        <v>6.1</v>
      </c>
      <c r="F93">
        <v>10.6</v>
      </c>
      <c r="G93">
        <v>5.3</v>
      </c>
      <c r="H93">
        <v>-2.84899088305189</v>
      </c>
      <c r="I93">
        <v>9.8644737009355804E-2</v>
      </c>
      <c r="J93">
        <v>0.46598874560430997</v>
      </c>
      <c r="K93">
        <v>-28.881326763349598</v>
      </c>
      <c r="L93">
        <v>1</v>
      </c>
      <c r="M93">
        <v>0.5</v>
      </c>
      <c r="O93">
        <v>22.9</v>
      </c>
      <c r="P93">
        <v>-2.87930395335133</v>
      </c>
    </row>
    <row r="94" spans="1:16" x14ac:dyDescent="0.25">
      <c r="A94">
        <v>43</v>
      </c>
      <c r="B94">
        <v>8.1</v>
      </c>
      <c r="C94">
        <v>34.5</v>
      </c>
      <c r="D94">
        <v>54.3</v>
      </c>
      <c r="E94">
        <v>11.8</v>
      </c>
      <c r="F94">
        <v>6.3</v>
      </c>
      <c r="G94">
        <v>6.8</v>
      </c>
      <c r="H94">
        <v>-2.8453186994112301</v>
      </c>
      <c r="I94">
        <v>0.25137939053986103</v>
      </c>
      <c r="J94">
        <v>0.49595838402509002</v>
      </c>
      <c r="K94">
        <v>-11.318822490979199</v>
      </c>
      <c r="L94">
        <v>0</v>
      </c>
      <c r="M94">
        <v>0</v>
      </c>
      <c r="O94">
        <v>25.8</v>
      </c>
      <c r="P94">
        <v>-2.8726124277619598</v>
      </c>
    </row>
    <row r="95" spans="1:16" x14ac:dyDescent="0.25">
      <c r="A95">
        <v>91</v>
      </c>
      <c r="B95">
        <v>10.1</v>
      </c>
      <c r="C95">
        <v>27.9</v>
      </c>
      <c r="D95">
        <v>38.299999999999997</v>
      </c>
      <c r="E95">
        <v>10.5</v>
      </c>
      <c r="F95">
        <v>15.3</v>
      </c>
      <c r="G95">
        <v>15.3</v>
      </c>
      <c r="H95">
        <v>-2.84453608565244</v>
      </c>
      <c r="I95">
        <v>0.126132598553097</v>
      </c>
      <c r="J95">
        <v>0.44832550093519802</v>
      </c>
      <c r="K95">
        <v>-22.551950235568899</v>
      </c>
      <c r="L95">
        <v>1</v>
      </c>
      <c r="M95">
        <v>0</v>
      </c>
      <c r="O95">
        <v>25.6</v>
      </c>
      <c r="P95">
        <v>-2.8555080507814798</v>
      </c>
    </row>
    <row r="96" spans="1:16" x14ac:dyDescent="0.25">
      <c r="A96">
        <v>76</v>
      </c>
      <c r="B96">
        <v>10.7</v>
      </c>
      <c r="C96">
        <v>29.7</v>
      </c>
      <c r="D96">
        <v>33.299999999999997</v>
      </c>
      <c r="E96">
        <v>17.600000000000001</v>
      </c>
      <c r="F96">
        <v>19.7</v>
      </c>
      <c r="G96">
        <v>8.8000000000000007</v>
      </c>
      <c r="H96">
        <v>-2.8373343533333801</v>
      </c>
      <c r="I96">
        <v>0.11246227014412</v>
      </c>
      <c r="J96">
        <v>0.43418794765442797</v>
      </c>
      <c r="K96">
        <v>-25.229211091838501</v>
      </c>
      <c r="L96">
        <v>1</v>
      </c>
      <c r="M96">
        <v>0</v>
      </c>
      <c r="O96">
        <v>20.7</v>
      </c>
      <c r="P96">
        <v>-2.84899088305189</v>
      </c>
    </row>
    <row r="97" spans="1:16" x14ac:dyDescent="0.25">
      <c r="A97">
        <v>139</v>
      </c>
      <c r="B97">
        <v>8.1</v>
      </c>
      <c r="C97">
        <v>25.2</v>
      </c>
      <c r="D97">
        <v>50.1</v>
      </c>
      <c r="E97">
        <v>15.1</v>
      </c>
      <c r="F97">
        <v>14.9</v>
      </c>
      <c r="G97">
        <v>12.9</v>
      </c>
      <c r="H97">
        <v>-2.83452070064607</v>
      </c>
      <c r="I97">
        <v>0.163791572864667</v>
      </c>
      <c r="J97">
        <v>0.48186783022830398</v>
      </c>
      <c r="K97">
        <v>-17.305656518654299</v>
      </c>
      <c r="L97">
        <v>1</v>
      </c>
      <c r="M97">
        <v>0</v>
      </c>
      <c r="O97">
        <v>27.9</v>
      </c>
      <c r="P97">
        <v>-2.84453608565244</v>
      </c>
    </row>
    <row r="98" spans="1:16" x14ac:dyDescent="0.25">
      <c r="A98">
        <v>135</v>
      </c>
      <c r="B98">
        <v>8.3000000000000007</v>
      </c>
      <c r="C98">
        <v>32</v>
      </c>
      <c r="D98">
        <v>43.1</v>
      </c>
      <c r="E98">
        <v>9.8000000000000007</v>
      </c>
      <c r="F98">
        <v>9.1999999999999993</v>
      </c>
      <c r="G98">
        <v>18.2</v>
      </c>
      <c r="H98">
        <v>-2.83256091733797</v>
      </c>
      <c r="I98">
        <v>0.14281196765297899</v>
      </c>
      <c r="J98">
        <v>0.448059148496739</v>
      </c>
      <c r="K98">
        <v>-19.8341985191384</v>
      </c>
      <c r="L98">
        <v>0.5</v>
      </c>
      <c r="M98">
        <v>0</v>
      </c>
      <c r="O98">
        <v>29.7</v>
      </c>
      <c r="P98">
        <v>-2.8373343533333801</v>
      </c>
    </row>
    <row r="99" spans="1:16" x14ac:dyDescent="0.25">
      <c r="A99">
        <v>90</v>
      </c>
      <c r="B99">
        <v>9.9</v>
      </c>
      <c r="C99">
        <v>21.8</v>
      </c>
      <c r="D99">
        <v>33.9</v>
      </c>
      <c r="E99">
        <v>13.1</v>
      </c>
      <c r="F99">
        <v>12.8</v>
      </c>
      <c r="G99">
        <v>14.9</v>
      </c>
      <c r="H99">
        <v>-2.8320083221114198</v>
      </c>
      <c r="I99">
        <v>9.2506434163698206E-2</v>
      </c>
      <c r="J99">
        <v>0.45438486127937699</v>
      </c>
      <c r="K99">
        <v>-30.614176707967498</v>
      </c>
      <c r="L99">
        <v>1</v>
      </c>
      <c r="M99">
        <v>0.5</v>
      </c>
      <c r="O99">
        <v>25.2</v>
      </c>
      <c r="P99">
        <v>-2.83452070064607</v>
      </c>
    </row>
    <row r="100" spans="1:16" x14ac:dyDescent="0.25">
      <c r="A100">
        <v>11</v>
      </c>
      <c r="B100">
        <v>8.3000000000000007</v>
      </c>
      <c r="C100">
        <v>23.6</v>
      </c>
      <c r="D100">
        <v>55.1</v>
      </c>
      <c r="E100">
        <v>19.3</v>
      </c>
      <c r="F100">
        <v>18.899999999999999</v>
      </c>
      <c r="G100">
        <v>6</v>
      </c>
      <c r="H100">
        <v>-2.82133515240174</v>
      </c>
      <c r="I100">
        <v>0.181705413176417</v>
      </c>
      <c r="J100">
        <v>0.49122199220621998</v>
      </c>
      <c r="K100">
        <v>-15.526973594686</v>
      </c>
      <c r="L100">
        <v>1</v>
      </c>
      <c r="M100">
        <v>0</v>
      </c>
      <c r="O100">
        <v>21.8</v>
      </c>
      <c r="P100">
        <v>-2.8320083221114198</v>
      </c>
    </row>
    <row r="101" spans="1:16" x14ac:dyDescent="0.25">
      <c r="A101">
        <v>39</v>
      </c>
      <c r="B101">
        <v>8.4</v>
      </c>
      <c r="C101">
        <v>28.3</v>
      </c>
      <c r="D101">
        <v>38.5</v>
      </c>
      <c r="E101">
        <v>18.8</v>
      </c>
      <c r="F101">
        <v>15.4</v>
      </c>
      <c r="G101">
        <v>6.2</v>
      </c>
      <c r="H101">
        <v>-2.8186231655063598</v>
      </c>
      <c r="I101">
        <v>0.123475826468554</v>
      </c>
      <c r="J101">
        <v>0.46344207972989898</v>
      </c>
      <c r="K101">
        <v>-22.827327794596201</v>
      </c>
      <c r="L101">
        <v>1</v>
      </c>
      <c r="M101">
        <v>0</v>
      </c>
      <c r="O101">
        <v>23.6</v>
      </c>
      <c r="P101">
        <v>-2.82133515240174</v>
      </c>
    </row>
    <row r="102" spans="1:16" x14ac:dyDescent="0.25">
      <c r="A102">
        <v>112</v>
      </c>
      <c r="B102">
        <v>9.6999999999999993</v>
      </c>
      <c r="C102">
        <v>25.3</v>
      </c>
      <c r="D102">
        <v>39.1</v>
      </c>
      <c r="E102">
        <v>19.899999999999999</v>
      </c>
      <c r="F102">
        <v>7.9</v>
      </c>
      <c r="G102">
        <v>19.600000000000001</v>
      </c>
      <c r="H102">
        <v>-2.8146958342855002</v>
      </c>
      <c r="I102">
        <v>0.123409585957396</v>
      </c>
      <c r="J102">
        <v>0.45327787143861797</v>
      </c>
      <c r="K102">
        <v>-22.807756888976101</v>
      </c>
      <c r="L102">
        <v>1</v>
      </c>
      <c r="M102">
        <v>0</v>
      </c>
      <c r="O102">
        <v>28.3</v>
      </c>
      <c r="P102">
        <v>-2.8186231655063598</v>
      </c>
    </row>
    <row r="103" spans="1:16" x14ac:dyDescent="0.25">
      <c r="A103">
        <v>9</v>
      </c>
      <c r="B103">
        <v>10</v>
      </c>
      <c r="C103">
        <v>32.200000000000003</v>
      </c>
      <c r="D103">
        <v>31.9</v>
      </c>
      <c r="E103">
        <v>5.9</v>
      </c>
      <c r="F103">
        <v>10.1</v>
      </c>
      <c r="G103">
        <v>6.4</v>
      </c>
      <c r="H103">
        <v>-2.8133916831764401</v>
      </c>
      <c r="I103">
        <v>8.0987536541304694E-2</v>
      </c>
      <c r="J103">
        <v>0.39452184853367001</v>
      </c>
      <c r="K103">
        <v>-34.7385758763211</v>
      </c>
      <c r="L103">
        <v>1</v>
      </c>
      <c r="M103">
        <v>1</v>
      </c>
      <c r="O103">
        <v>25.3</v>
      </c>
      <c r="P103">
        <v>-2.8146958342855002</v>
      </c>
    </row>
    <row r="104" spans="1:16" x14ac:dyDescent="0.25">
      <c r="A104">
        <v>128</v>
      </c>
      <c r="B104">
        <v>9.6999999999999993</v>
      </c>
      <c r="C104">
        <v>29.5</v>
      </c>
      <c r="D104">
        <v>34.1</v>
      </c>
      <c r="E104">
        <v>17.3</v>
      </c>
      <c r="F104">
        <v>19.3</v>
      </c>
      <c r="G104">
        <v>8.1</v>
      </c>
      <c r="H104">
        <v>-2.80769437266739</v>
      </c>
      <c r="I104">
        <v>0.115539615348004</v>
      </c>
      <c r="J104">
        <v>0.43998116387117497</v>
      </c>
      <c r="K104">
        <v>-24.3007072873718</v>
      </c>
      <c r="L104">
        <v>1</v>
      </c>
      <c r="M104">
        <v>0</v>
      </c>
      <c r="O104">
        <v>32.200000000000003</v>
      </c>
      <c r="P104">
        <v>-2.8133916831764401</v>
      </c>
    </row>
    <row r="105" spans="1:16" x14ac:dyDescent="0.25">
      <c r="A105">
        <v>26</v>
      </c>
      <c r="B105">
        <v>10.199999999999999</v>
      </c>
      <c r="C105">
        <v>22.7</v>
      </c>
      <c r="D105">
        <v>41.7</v>
      </c>
      <c r="E105">
        <v>19.5</v>
      </c>
      <c r="F105">
        <v>16.2</v>
      </c>
      <c r="G105">
        <v>12.8</v>
      </c>
      <c r="H105">
        <v>-2.7930273176565601</v>
      </c>
      <c r="I105">
        <v>0.142816208604295</v>
      </c>
      <c r="J105">
        <v>0.46603546809938201</v>
      </c>
      <c r="K105">
        <v>-19.556795023142399</v>
      </c>
      <c r="L105">
        <v>1</v>
      </c>
      <c r="M105">
        <v>0</v>
      </c>
      <c r="O105">
        <v>29.5</v>
      </c>
      <c r="P105">
        <v>-2.80769437266739</v>
      </c>
    </row>
    <row r="106" spans="1:16" x14ac:dyDescent="0.25">
      <c r="A106">
        <v>143</v>
      </c>
      <c r="B106">
        <v>9</v>
      </c>
      <c r="C106">
        <v>27.4</v>
      </c>
      <c r="D106">
        <v>35.9</v>
      </c>
      <c r="E106">
        <v>9</v>
      </c>
      <c r="F106">
        <v>18.7</v>
      </c>
      <c r="G106">
        <v>11.6</v>
      </c>
      <c r="H106">
        <v>-2.78866354369115</v>
      </c>
      <c r="I106">
        <v>0.11795526190474501</v>
      </c>
      <c r="J106">
        <v>0.44649962103293001</v>
      </c>
      <c r="K106">
        <v>-23.641705326746099</v>
      </c>
      <c r="L106">
        <v>1</v>
      </c>
      <c r="M106">
        <v>0</v>
      </c>
      <c r="O106">
        <v>22.7</v>
      </c>
      <c r="P106">
        <v>-2.7930273176565601</v>
      </c>
    </row>
    <row r="107" spans="1:16" x14ac:dyDescent="0.25">
      <c r="A107">
        <v>120</v>
      </c>
      <c r="B107">
        <v>8.9</v>
      </c>
      <c r="C107">
        <v>25.4</v>
      </c>
      <c r="D107">
        <v>39.700000000000003</v>
      </c>
      <c r="E107">
        <v>16.100000000000001</v>
      </c>
      <c r="F107">
        <v>10.3</v>
      </c>
      <c r="G107">
        <v>8.6999999999999993</v>
      </c>
      <c r="H107">
        <v>-2.7653082196627898</v>
      </c>
      <c r="I107">
        <v>0.126106381253966</v>
      </c>
      <c r="J107">
        <v>0.45519803682825299</v>
      </c>
      <c r="K107">
        <v>-21.928376598910699</v>
      </c>
      <c r="L107">
        <v>1</v>
      </c>
      <c r="M107">
        <v>0</v>
      </c>
      <c r="O107">
        <v>27.4</v>
      </c>
      <c r="P107">
        <v>-2.78866354369115</v>
      </c>
    </row>
    <row r="108" spans="1:16" x14ac:dyDescent="0.25">
      <c r="A108">
        <v>113</v>
      </c>
      <c r="B108">
        <v>8.5</v>
      </c>
      <c r="C108">
        <v>25.1</v>
      </c>
      <c r="D108">
        <v>42.5</v>
      </c>
      <c r="E108">
        <v>17.399999999999999</v>
      </c>
      <c r="F108">
        <v>5.3</v>
      </c>
      <c r="G108">
        <v>14.3</v>
      </c>
      <c r="H108">
        <v>-2.75216093800171</v>
      </c>
      <c r="I108">
        <v>0.132016059133889</v>
      </c>
      <c r="J108">
        <v>0.45294501132484599</v>
      </c>
      <c r="K108">
        <v>-20.8471678071414</v>
      </c>
      <c r="L108">
        <v>1</v>
      </c>
      <c r="M108">
        <v>0</v>
      </c>
      <c r="O108">
        <v>25.4</v>
      </c>
      <c r="P108">
        <v>-2.7653082196627898</v>
      </c>
    </row>
    <row r="109" spans="1:16" x14ac:dyDescent="0.25">
      <c r="A109">
        <v>93</v>
      </c>
      <c r="B109">
        <v>8.1</v>
      </c>
      <c r="C109">
        <v>29.1</v>
      </c>
      <c r="D109">
        <v>41.3</v>
      </c>
      <c r="E109">
        <v>14.8</v>
      </c>
      <c r="F109">
        <v>8.4</v>
      </c>
      <c r="G109">
        <v>16.399999999999999</v>
      </c>
      <c r="H109">
        <v>-2.74600839457774</v>
      </c>
      <c r="I109">
        <v>0.13885872319600101</v>
      </c>
      <c r="J109">
        <v>0.44468578504991402</v>
      </c>
      <c r="K109">
        <v>-19.775555552975199</v>
      </c>
      <c r="L109">
        <v>1</v>
      </c>
      <c r="M109">
        <v>0</v>
      </c>
      <c r="O109">
        <v>25.1</v>
      </c>
      <c r="P109">
        <v>-2.75216093800171</v>
      </c>
    </row>
    <row r="110" spans="1:16" x14ac:dyDescent="0.25">
      <c r="A110">
        <v>20</v>
      </c>
      <c r="B110">
        <v>8.9</v>
      </c>
      <c r="C110">
        <v>27.5</v>
      </c>
      <c r="D110">
        <v>40.299999999999997</v>
      </c>
      <c r="E110">
        <v>12.2</v>
      </c>
      <c r="F110">
        <v>8.1999999999999993</v>
      </c>
      <c r="G110">
        <v>14.4</v>
      </c>
      <c r="H110">
        <v>-2.7437723069147899</v>
      </c>
      <c r="I110">
        <v>0.13092033310624401</v>
      </c>
      <c r="J110">
        <v>0.44056817746812299</v>
      </c>
      <c r="K110">
        <v>-20.957571996766699</v>
      </c>
      <c r="L110">
        <v>1</v>
      </c>
      <c r="M110">
        <v>0</v>
      </c>
      <c r="O110">
        <v>29.1</v>
      </c>
      <c r="P110">
        <v>-2.74600839457774</v>
      </c>
    </row>
    <row r="111" spans="1:16" x14ac:dyDescent="0.25">
      <c r="A111">
        <v>83</v>
      </c>
      <c r="B111">
        <v>8.1</v>
      </c>
      <c r="C111">
        <v>31.3</v>
      </c>
      <c r="D111">
        <v>34.5</v>
      </c>
      <c r="E111">
        <v>7.6</v>
      </c>
      <c r="F111">
        <v>20</v>
      </c>
      <c r="G111">
        <v>5.7</v>
      </c>
      <c r="H111">
        <v>-2.73873513176268</v>
      </c>
      <c r="I111">
        <v>0.109159015466838</v>
      </c>
      <c r="J111">
        <v>0.42513876052520799</v>
      </c>
      <c r="K111">
        <v>-25.0894085115184</v>
      </c>
      <c r="L111">
        <v>1</v>
      </c>
      <c r="M111">
        <v>0</v>
      </c>
      <c r="O111">
        <v>27.5</v>
      </c>
      <c r="P111">
        <v>-2.7437723069147899</v>
      </c>
    </row>
    <row r="112" spans="1:16" x14ac:dyDescent="0.25">
      <c r="A112">
        <v>48</v>
      </c>
      <c r="B112">
        <v>9.1</v>
      </c>
      <c r="C112">
        <v>24.7</v>
      </c>
      <c r="D112">
        <v>37.5</v>
      </c>
      <c r="E112">
        <v>18.600000000000001</v>
      </c>
      <c r="F112">
        <v>6.5</v>
      </c>
      <c r="G112">
        <v>14</v>
      </c>
      <c r="H112">
        <v>-2.73513532237767</v>
      </c>
      <c r="I112">
        <v>0.112911564185685</v>
      </c>
      <c r="J112">
        <v>0.440882433770177</v>
      </c>
      <c r="K112">
        <v>-24.223695261892701</v>
      </c>
      <c r="L112">
        <v>1</v>
      </c>
      <c r="M112">
        <v>0</v>
      </c>
      <c r="O112">
        <v>31.3</v>
      </c>
      <c r="P112">
        <v>-2.73873513176268</v>
      </c>
    </row>
    <row r="113" spans="1:16" x14ac:dyDescent="0.25">
      <c r="A113">
        <v>27</v>
      </c>
      <c r="B113">
        <v>9.1</v>
      </c>
      <c r="C113">
        <v>24.3</v>
      </c>
      <c r="D113">
        <v>30.7</v>
      </c>
      <c r="E113">
        <v>6</v>
      </c>
      <c r="F113">
        <v>17.899999999999999</v>
      </c>
      <c r="G113">
        <v>19.3</v>
      </c>
      <c r="H113">
        <v>-2.7319103180347701</v>
      </c>
      <c r="I113">
        <v>8.4892069731597894E-2</v>
      </c>
      <c r="J113">
        <v>0.42406023006612398</v>
      </c>
      <c r="K113">
        <v>-32.180983767649998</v>
      </c>
      <c r="L113">
        <v>1</v>
      </c>
      <c r="M113">
        <v>1</v>
      </c>
      <c r="O113">
        <v>24.7</v>
      </c>
      <c r="P113">
        <v>-2.73513532237767</v>
      </c>
    </row>
    <row r="114" spans="1:16" x14ac:dyDescent="0.25">
      <c r="A114">
        <v>37</v>
      </c>
      <c r="B114">
        <v>8.5</v>
      </c>
      <c r="C114">
        <v>27.1</v>
      </c>
      <c r="D114">
        <v>36.700000000000003</v>
      </c>
      <c r="E114">
        <v>14.5</v>
      </c>
      <c r="F114">
        <v>9.4</v>
      </c>
      <c r="G114">
        <v>17.600000000000001</v>
      </c>
      <c r="H114">
        <v>-2.7309285599275301</v>
      </c>
      <c r="I114">
        <v>0.114559632154329</v>
      </c>
      <c r="J114">
        <v>0.43602483079503501</v>
      </c>
      <c r="K114">
        <v>-23.838489252903202</v>
      </c>
      <c r="L114">
        <v>1</v>
      </c>
      <c r="M114">
        <v>0</v>
      </c>
      <c r="O114">
        <v>24.3</v>
      </c>
      <c r="P114">
        <v>-2.7319103180347701</v>
      </c>
    </row>
    <row r="115" spans="1:16" x14ac:dyDescent="0.25">
      <c r="A115">
        <v>0</v>
      </c>
      <c r="B115">
        <v>9</v>
      </c>
      <c r="C115">
        <v>25</v>
      </c>
      <c r="D115">
        <v>40</v>
      </c>
      <c r="E115">
        <v>14</v>
      </c>
      <c r="F115">
        <v>18</v>
      </c>
      <c r="G115">
        <v>10</v>
      </c>
      <c r="H115">
        <v>-2.7305082735352402</v>
      </c>
      <c r="I115">
        <v>0.136595537942792</v>
      </c>
      <c r="J115">
        <v>0.45480767664723698</v>
      </c>
      <c r="K115">
        <v>-19.9897325685616</v>
      </c>
      <c r="L115">
        <v>1</v>
      </c>
      <c r="M115">
        <v>0</v>
      </c>
      <c r="O115">
        <v>27.1</v>
      </c>
      <c r="P115">
        <v>-2.7309285599275301</v>
      </c>
    </row>
    <row r="116" spans="1:16" x14ac:dyDescent="0.25">
      <c r="A116">
        <v>5</v>
      </c>
      <c r="B116">
        <v>9.3000000000000007</v>
      </c>
      <c r="C116">
        <v>33.9</v>
      </c>
      <c r="D116">
        <v>52.1</v>
      </c>
      <c r="E116">
        <v>14.7</v>
      </c>
      <c r="F116">
        <v>8.1</v>
      </c>
      <c r="G116">
        <v>10.199999999999999</v>
      </c>
      <c r="H116">
        <v>-2.72642234203756</v>
      </c>
      <c r="I116">
        <v>0.26623197568703499</v>
      </c>
      <c r="J116">
        <v>0.47741072248323801</v>
      </c>
      <c r="K116">
        <v>-10.240777183138</v>
      </c>
      <c r="L116">
        <v>0</v>
      </c>
      <c r="M116">
        <v>0</v>
      </c>
      <c r="O116">
        <v>25</v>
      </c>
      <c r="P116">
        <v>-2.7305082735352402</v>
      </c>
    </row>
    <row r="117" spans="1:16" x14ac:dyDescent="0.25">
      <c r="A117">
        <v>54</v>
      </c>
      <c r="B117">
        <v>9.1999999999999993</v>
      </c>
      <c r="C117">
        <v>26.4</v>
      </c>
      <c r="D117">
        <v>38.1</v>
      </c>
      <c r="E117">
        <v>11.9</v>
      </c>
      <c r="F117">
        <v>13.4</v>
      </c>
      <c r="G117">
        <v>6.9</v>
      </c>
      <c r="H117">
        <v>-2.7251025779818301</v>
      </c>
      <c r="I117">
        <v>0.127898736334184</v>
      </c>
      <c r="J117">
        <v>0.44267903643829598</v>
      </c>
      <c r="K117">
        <v>-21.306720113805198</v>
      </c>
      <c r="L117">
        <v>1</v>
      </c>
      <c r="M117">
        <v>0</v>
      </c>
      <c r="O117">
        <v>26.4</v>
      </c>
      <c r="P117">
        <v>-2.7251025779818301</v>
      </c>
    </row>
    <row r="118" spans="1:16" x14ac:dyDescent="0.25">
      <c r="A118">
        <v>7</v>
      </c>
      <c r="B118">
        <v>8.1999999999999993</v>
      </c>
      <c r="C118">
        <v>30.8</v>
      </c>
      <c r="D118">
        <v>59.9</v>
      </c>
      <c r="E118">
        <v>19.600000000000001</v>
      </c>
      <c r="F118">
        <v>9</v>
      </c>
      <c r="G118">
        <v>6.3</v>
      </c>
      <c r="H118">
        <v>-2.70773072471186</v>
      </c>
      <c r="I118">
        <v>0.25308878000441398</v>
      </c>
      <c r="J118">
        <v>0.47618496072525501</v>
      </c>
      <c r="K118">
        <v>-10.698738698193701</v>
      </c>
      <c r="L118">
        <v>0</v>
      </c>
      <c r="M118">
        <v>0</v>
      </c>
      <c r="O118">
        <v>25.5</v>
      </c>
      <c r="P118">
        <v>-2.7038620278158598</v>
      </c>
    </row>
    <row r="119" spans="1:16" x14ac:dyDescent="0.25">
      <c r="A119">
        <v>70</v>
      </c>
      <c r="B119">
        <v>8.8000000000000007</v>
      </c>
      <c r="C119">
        <v>25.5</v>
      </c>
      <c r="D119">
        <v>40.1</v>
      </c>
      <c r="E119">
        <v>9.3000000000000007</v>
      </c>
      <c r="F119">
        <v>10.9</v>
      </c>
      <c r="G119">
        <v>5.6</v>
      </c>
      <c r="H119">
        <v>-2.7038620278158598</v>
      </c>
      <c r="I119">
        <v>0.13187738800162399</v>
      </c>
      <c r="J119">
        <v>0.44541678181121702</v>
      </c>
      <c r="K119">
        <v>-20.502847901283602</v>
      </c>
      <c r="L119">
        <v>1</v>
      </c>
      <c r="M119">
        <v>0</v>
      </c>
      <c r="O119">
        <v>21.5</v>
      </c>
      <c r="P119">
        <v>-2.6865529300666</v>
      </c>
    </row>
    <row r="120" spans="1:16" x14ac:dyDescent="0.25">
      <c r="A120">
        <v>126</v>
      </c>
      <c r="B120">
        <v>8.9</v>
      </c>
      <c r="C120">
        <v>31.9</v>
      </c>
      <c r="D120">
        <v>52.7</v>
      </c>
      <c r="E120">
        <v>15.2</v>
      </c>
      <c r="F120">
        <v>13.6</v>
      </c>
      <c r="G120">
        <v>15.1</v>
      </c>
      <c r="H120">
        <v>-2.70216685022953</v>
      </c>
      <c r="I120">
        <v>0.230364641838603</v>
      </c>
      <c r="J120">
        <v>0.46096333819667601</v>
      </c>
      <c r="K120">
        <v>-11.7299548605324</v>
      </c>
      <c r="L120">
        <v>0</v>
      </c>
      <c r="M120">
        <v>0</v>
      </c>
      <c r="O120">
        <v>26.8</v>
      </c>
      <c r="P120">
        <v>-2.68110770472587</v>
      </c>
    </row>
    <row r="121" spans="1:16" x14ac:dyDescent="0.25">
      <c r="A121">
        <v>30</v>
      </c>
      <c r="B121">
        <v>9.6999999999999993</v>
      </c>
      <c r="C121">
        <v>33.6</v>
      </c>
      <c r="D121">
        <v>58.3</v>
      </c>
      <c r="E121">
        <v>18.2</v>
      </c>
      <c r="F121">
        <v>8.5</v>
      </c>
      <c r="G121">
        <v>6.1</v>
      </c>
      <c r="H121">
        <v>-2.7008443385056902</v>
      </c>
      <c r="I121">
        <v>0.292569904810352</v>
      </c>
      <c r="J121">
        <v>0.47983093533819199</v>
      </c>
      <c r="K121">
        <v>-9.2314496265650199</v>
      </c>
      <c r="L121">
        <v>0</v>
      </c>
      <c r="M121">
        <v>0</v>
      </c>
      <c r="O121">
        <v>29.3</v>
      </c>
      <c r="P121">
        <v>-2.6565216961749698</v>
      </c>
    </row>
    <row r="122" spans="1:16" x14ac:dyDescent="0.25">
      <c r="A122">
        <v>77</v>
      </c>
      <c r="B122">
        <v>8.1999999999999993</v>
      </c>
      <c r="C122">
        <v>21.5</v>
      </c>
      <c r="D122">
        <v>44.7</v>
      </c>
      <c r="E122">
        <v>14.6</v>
      </c>
      <c r="F122">
        <v>16.7</v>
      </c>
      <c r="G122">
        <v>9.5</v>
      </c>
      <c r="H122">
        <v>-2.6865529300666</v>
      </c>
      <c r="I122">
        <v>0.155350870073032</v>
      </c>
      <c r="J122">
        <v>0.468494349097966</v>
      </c>
      <c r="K122">
        <v>-17.293452742193299</v>
      </c>
      <c r="L122">
        <v>1</v>
      </c>
      <c r="M122">
        <v>0</v>
      </c>
      <c r="O122">
        <v>20.100000000000001</v>
      </c>
      <c r="P122">
        <v>-2.6561864057060398</v>
      </c>
    </row>
    <row r="123" spans="1:16" x14ac:dyDescent="0.25">
      <c r="A123">
        <v>95</v>
      </c>
      <c r="B123">
        <v>8.4</v>
      </c>
      <c r="C123">
        <v>29.9</v>
      </c>
      <c r="D123">
        <v>58.7</v>
      </c>
      <c r="E123">
        <v>18.100000000000001</v>
      </c>
      <c r="F123">
        <v>17</v>
      </c>
      <c r="G123">
        <v>15.4</v>
      </c>
      <c r="H123">
        <v>-2.6831355516727902</v>
      </c>
      <c r="I123">
        <v>0.23719814029842401</v>
      </c>
      <c r="J123">
        <v>0.46212197267421001</v>
      </c>
      <c r="K123">
        <v>-11.311790000954799</v>
      </c>
      <c r="L123">
        <v>0</v>
      </c>
      <c r="M123">
        <v>0</v>
      </c>
      <c r="O123">
        <v>29</v>
      </c>
      <c r="P123">
        <v>-2.65238870713728</v>
      </c>
    </row>
    <row r="124" spans="1:16" x14ac:dyDescent="0.25">
      <c r="A124">
        <v>72</v>
      </c>
      <c r="B124">
        <v>8.1999999999999993</v>
      </c>
      <c r="C124">
        <v>26.8</v>
      </c>
      <c r="D124">
        <v>34.299999999999997</v>
      </c>
      <c r="E124">
        <v>18</v>
      </c>
      <c r="F124">
        <v>12.1</v>
      </c>
      <c r="G124">
        <v>17.8</v>
      </c>
      <c r="H124">
        <v>-2.68110770472587</v>
      </c>
      <c r="I124">
        <v>0.107304736442664</v>
      </c>
      <c r="J124">
        <v>0.42804892845014503</v>
      </c>
      <c r="K124">
        <v>-24.985921345219101</v>
      </c>
      <c r="L124">
        <v>1</v>
      </c>
      <c r="M124">
        <v>0</v>
      </c>
      <c r="O124">
        <v>24</v>
      </c>
      <c r="P124">
        <v>-2.6478680059978998</v>
      </c>
    </row>
    <row r="125" spans="1:16" x14ac:dyDescent="0.25">
      <c r="A125">
        <v>132</v>
      </c>
      <c r="B125">
        <v>9.6</v>
      </c>
      <c r="C125">
        <v>29.3</v>
      </c>
      <c r="D125">
        <v>31.1</v>
      </c>
      <c r="E125">
        <v>7</v>
      </c>
      <c r="F125">
        <v>13.3</v>
      </c>
      <c r="G125">
        <v>7.9</v>
      </c>
      <c r="H125">
        <v>-2.6565216961749698</v>
      </c>
      <c r="I125">
        <v>8.8412882285947306E-2</v>
      </c>
      <c r="J125">
        <v>0.387145891976857</v>
      </c>
      <c r="K125">
        <v>-30.046771776800298</v>
      </c>
      <c r="L125">
        <v>1</v>
      </c>
      <c r="M125">
        <v>0</v>
      </c>
      <c r="O125">
        <v>25.7</v>
      </c>
      <c r="P125">
        <v>-2.6356725285418401</v>
      </c>
    </row>
    <row r="126" spans="1:16" x14ac:dyDescent="0.25">
      <c r="A126">
        <v>3</v>
      </c>
      <c r="B126">
        <v>8.4</v>
      </c>
      <c r="C126">
        <v>20.100000000000001</v>
      </c>
      <c r="D126">
        <v>51.1</v>
      </c>
      <c r="E126">
        <v>16.399999999999999</v>
      </c>
      <c r="F126">
        <v>16.5</v>
      </c>
      <c r="G126">
        <v>8.5</v>
      </c>
      <c r="H126">
        <v>-2.6561864057060398</v>
      </c>
      <c r="I126">
        <v>0.17154840110098599</v>
      </c>
      <c r="J126">
        <v>0.46367044816798098</v>
      </c>
      <c r="K126">
        <v>-15.4835975658112</v>
      </c>
      <c r="L126">
        <v>1</v>
      </c>
      <c r="M126">
        <v>0</v>
      </c>
      <c r="O126">
        <v>28.2</v>
      </c>
      <c r="P126">
        <v>-2.6312943595981801</v>
      </c>
    </row>
    <row r="127" spans="1:16" x14ac:dyDescent="0.25">
      <c r="A127">
        <v>137</v>
      </c>
      <c r="B127">
        <v>8</v>
      </c>
      <c r="C127">
        <v>29</v>
      </c>
      <c r="D127">
        <v>36.1</v>
      </c>
      <c r="E127">
        <v>6.7</v>
      </c>
      <c r="F127">
        <v>8.9</v>
      </c>
      <c r="G127">
        <v>5.9</v>
      </c>
      <c r="H127">
        <v>-2.65238870713728</v>
      </c>
      <c r="I127">
        <v>0.10671788145639401</v>
      </c>
      <c r="J127">
        <v>0.41451807861379802</v>
      </c>
      <c r="K127">
        <v>-24.854210662165901</v>
      </c>
      <c r="L127">
        <v>1</v>
      </c>
      <c r="M127">
        <v>0</v>
      </c>
      <c r="O127">
        <v>21.2</v>
      </c>
      <c r="P127">
        <v>-2.6199696829528598</v>
      </c>
    </row>
    <row r="128" spans="1:16" x14ac:dyDescent="0.25">
      <c r="A128">
        <v>121</v>
      </c>
      <c r="B128">
        <v>8.8000000000000007</v>
      </c>
      <c r="C128">
        <v>24</v>
      </c>
      <c r="D128">
        <v>35.5</v>
      </c>
      <c r="E128">
        <v>12.6</v>
      </c>
      <c r="F128">
        <v>9.6999999999999993</v>
      </c>
      <c r="G128">
        <v>16.8</v>
      </c>
      <c r="H128">
        <v>-2.6478680059978998</v>
      </c>
      <c r="I128">
        <v>0.107097513563782</v>
      </c>
      <c r="J128">
        <v>0.42560327181303897</v>
      </c>
      <c r="K128">
        <v>-24.723898042889299</v>
      </c>
      <c r="L128">
        <v>1</v>
      </c>
      <c r="M128">
        <v>0</v>
      </c>
      <c r="O128">
        <v>23</v>
      </c>
      <c r="P128">
        <v>-2.61931899843316</v>
      </c>
    </row>
    <row r="129" spans="1:16" x14ac:dyDescent="0.25">
      <c r="A129">
        <v>147</v>
      </c>
      <c r="B129">
        <v>10</v>
      </c>
      <c r="C129">
        <v>25.7</v>
      </c>
      <c r="D129">
        <v>31.5</v>
      </c>
      <c r="E129">
        <v>17.8</v>
      </c>
      <c r="F129">
        <v>17.600000000000001</v>
      </c>
      <c r="G129">
        <v>5.5</v>
      </c>
      <c r="H129">
        <v>-2.6356725285418401</v>
      </c>
      <c r="I129">
        <v>0.100842373906622</v>
      </c>
      <c r="J129">
        <v>0.40925046088803602</v>
      </c>
      <c r="K129">
        <v>-26.136557742902799</v>
      </c>
      <c r="L129">
        <v>1</v>
      </c>
      <c r="M129">
        <v>0</v>
      </c>
      <c r="O129">
        <v>20.5</v>
      </c>
      <c r="P129">
        <v>-2.6191691119817602</v>
      </c>
    </row>
    <row r="130" spans="1:16" x14ac:dyDescent="0.25">
      <c r="A130">
        <v>131</v>
      </c>
      <c r="B130">
        <v>9.4</v>
      </c>
      <c r="C130">
        <v>28.2</v>
      </c>
      <c r="D130">
        <v>30.9</v>
      </c>
      <c r="E130">
        <v>18.899999999999999</v>
      </c>
      <c r="F130">
        <v>18.100000000000001</v>
      </c>
      <c r="G130">
        <v>18.399999999999999</v>
      </c>
      <c r="H130">
        <v>-2.6312943595981801</v>
      </c>
      <c r="I130">
        <v>0.102459854311908</v>
      </c>
      <c r="J130">
        <v>0.40112086235733801</v>
      </c>
      <c r="K130">
        <v>-25.681222926474</v>
      </c>
      <c r="L130">
        <v>1</v>
      </c>
      <c r="M130">
        <v>0</v>
      </c>
      <c r="O130">
        <v>23.7</v>
      </c>
      <c r="P130">
        <v>-2.5761422998318899</v>
      </c>
    </row>
    <row r="131" spans="1:16" x14ac:dyDescent="0.25">
      <c r="A131">
        <v>36</v>
      </c>
      <c r="B131">
        <v>8.1</v>
      </c>
      <c r="C131">
        <v>28.4</v>
      </c>
      <c r="D131">
        <v>37.9</v>
      </c>
      <c r="E131">
        <v>13.3</v>
      </c>
      <c r="F131">
        <v>5.7</v>
      </c>
      <c r="G131">
        <v>13.5</v>
      </c>
      <c r="H131">
        <v>-2.6258487418134702</v>
      </c>
      <c r="I131">
        <v>0.12179930739504</v>
      </c>
      <c r="J131">
        <v>0.41534256097196298</v>
      </c>
      <c r="K131">
        <v>-21.558815053823501</v>
      </c>
      <c r="L131">
        <v>0.5</v>
      </c>
      <c r="M131">
        <v>0</v>
      </c>
      <c r="O131">
        <v>24.5</v>
      </c>
      <c r="P131">
        <v>-2.4819392235305102</v>
      </c>
    </row>
    <row r="132" spans="1:16" x14ac:dyDescent="0.25">
      <c r="A132">
        <v>57</v>
      </c>
      <c r="B132">
        <v>8.3000000000000007</v>
      </c>
      <c r="C132">
        <v>21.2</v>
      </c>
      <c r="D132">
        <v>39.299999999999997</v>
      </c>
      <c r="E132">
        <v>19.399999999999999</v>
      </c>
      <c r="F132">
        <v>11.1</v>
      </c>
      <c r="G132">
        <v>14.6</v>
      </c>
      <c r="H132">
        <v>-2.6199696829528598</v>
      </c>
      <c r="I132">
        <v>0.129966749769895</v>
      </c>
      <c r="J132">
        <v>0.44651708709209698</v>
      </c>
      <c r="K132">
        <v>-20.158768974306799</v>
      </c>
      <c r="L132">
        <v>1</v>
      </c>
      <c r="M132">
        <v>0</v>
      </c>
      <c r="O132">
        <v>20.9</v>
      </c>
      <c r="P132">
        <v>-2.4700112267256098</v>
      </c>
    </row>
    <row r="133" spans="1:16" x14ac:dyDescent="0.25">
      <c r="A133">
        <v>110</v>
      </c>
      <c r="B133">
        <v>8.6</v>
      </c>
      <c r="C133">
        <v>30.9</v>
      </c>
      <c r="D133">
        <v>30.3</v>
      </c>
      <c r="E133">
        <v>7.7</v>
      </c>
      <c r="F133">
        <v>13.9</v>
      </c>
      <c r="G133">
        <v>18.7</v>
      </c>
      <c r="H133">
        <v>-2.6196043493385401</v>
      </c>
      <c r="I133">
        <v>9.2679206756411503E-2</v>
      </c>
      <c r="J133">
        <v>0.38437553840103</v>
      </c>
      <c r="K133">
        <v>-28.265286691799599</v>
      </c>
      <c r="L133">
        <v>0.5</v>
      </c>
      <c r="M133">
        <v>0</v>
      </c>
      <c r="O133">
        <v>24.4</v>
      </c>
      <c r="P133">
        <v>-2.44238193052515</v>
      </c>
    </row>
    <row r="134" spans="1:16" x14ac:dyDescent="0.25">
      <c r="A134">
        <v>65</v>
      </c>
      <c r="B134">
        <v>8.1999999999999993</v>
      </c>
      <c r="C134">
        <v>23</v>
      </c>
      <c r="D134">
        <v>36.5</v>
      </c>
      <c r="E134">
        <v>18.5</v>
      </c>
      <c r="F134">
        <v>16</v>
      </c>
      <c r="G134">
        <v>13.8</v>
      </c>
      <c r="H134">
        <v>-2.61931899843316</v>
      </c>
      <c r="I134">
        <v>0.12333721769747499</v>
      </c>
      <c r="J134">
        <v>0.44059106231795497</v>
      </c>
      <c r="K134">
        <v>-21.237052751245699</v>
      </c>
      <c r="L134">
        <v>1</v>
      </c>
      <c r="M134">
        <v>0</v>
      </c>
      <c r="O134">
        <v>34.4</v>
      </c>
      <c r="P134">
        <v>-2.3017754227163301</v>
      </c>
    </row>
    <row r="135" spans="1:16" x14ac:dyDescent="0.25">
      <c r="A135">
        <v>2</v>
      </c>
      <c r="B135">
        <v>9</v>
      </c>
      <c r="C135">
        <v>20.5</v>
      </c>
      <c r="D135">
        <v>38.9</v>
      </c>
      <c r="E135">
        <v>15.7</v>
      </c>
      <c r="F135">
        <v>10</v>
      </c>
      <c r="G135">
        <v>12.7</v>
      </c>
      <c r="H135">
        <v>-2.6191691119817602</v>
      </c>
      <c r="I135">
        <v>0.12486713130662699</v>
      </c>
      <c r="J135">
        <v>0.44187293895018398</v>
      </c>
      <c r="K135">
        <v>-20.975648952405699</v>
      </c>
      <c r="L135">
        <v>1</v>
      </c>
      <c r="M135">
        <v>0</v>
      </c>
    </row>
    <row r="136" spans="1:16" x14ac:dyDescent="0.25">
      <c r="A136">
        <v>119</v>
      </c>
      <c r="B136">
        <v>8.5</v>
      </c>
      <c r="C136">
        <v>34.1</v>
      </c>
      <c r="D136">
        <v>53.3</v>
      </c>
      <c r="E136">
        <v>19.2</v>
      </c>
      <c r="F136">
        <v>18.5</v>
      </c>
      <c r="G136">
        <v>9.9</v>
      </c>
      <c r="H136">
        <v>-2.5946574676107699</v>
      </c>
      <c r="I136">
        <v>0.263378302478249</v>
      </c>
      <c r="J136">
        <v>0.46095670893332502</v>
      </c>
      <c r="K136">
        <v>-9.8514473029723195</v>
      </c>
      <c r="L136">
        <v>0</v>
      </c>
      <c r="M136">
        <v>0</v>
      </c>
    </row>
    <row r="137" spans="1:16" x14ac:dyDescent="0.25">
      <c r="A137">
        <v>123</v>
      </c>
      <c r="B137">
        <v>8.5</v>
      </c>
      <c r="C137">
        <v>31.2</v>
      </c>
      <c r="D137">
        <v>32.5</v>
      </c>
      <c r="E137">
        <v>10.199999999999999</v>
      </c>
      <c r="F137">
        <v>7.5</v>
      </c>
      <c r="G137">
        <v>16.100000000000001</v>
      </c>
      <c r="H137">
        <v>-2.5819677356083299</v>
      </c>
      <c r="I137">
        <v>9.9297601908542199E-2</v>
      </c>
      <c r="J137">
        <v>0.379935562201276</v>
      </c>
      <c r="K137">
        <v>-26.002317135377002</v>
      </c>
      <c r="L137">
        <v>0.5</v>
      </c>
      <c r="M137">
        <v>0</v>
      </c>
    </row>
    <row r="138" spans="1:16" x14ac:dyDescent="0.25">
      <c r="A138">
        <v>103</v>
      </c>
      <c r="B138">
        <v>8.6999999999999993</v>
      </c>
      <c r="C138">
        <v>23.7</v>
      </c>
      <c r="D138">
        <v>33.1</v>
      </c>
      <c r="E138">
        <v>11.7</v>
      </c>
      <c r="F138">
        <v>12</v>
      </c>
      <c r="G138">
        <v>15.6</v>
      </c>
      <c r="H138">
        <v>-2.5761422998318899</v>
      </c>
      <c r="I138">
        <v>0.102706202071081</v>
      </c>
      <c r="J138">
        <v>0.412950451750553</v>
      </c>
      <c r="K138">
        <v>-25.0826361785724</v>
      </c>
      <c r="L138">
        <v>1</v>
      </c>
      <c r="M138">
        <v>0</v>
      </c>
    </row>
    <row r="139" spans="1:16" x14ac:dyDescent="0.25">
      <c r="A139">
        <v>8</v>
      </c>
      <c r="B139">
        <v>8</v>
      </c>
      <c r="C139">
        <v>29.4</v>
      </c>
      <c r="D139">
        <v>38.700000000000003</v>
      </c>
      <c r="E139">
        <v>11.1</v>
      </c>
      <c r="F139">
        <v>6.4</v>
      </c>
      <c r="G139">
        <v>6.7</v>
      </c>
      <c r="H139">
        <v>-2.5398956521177198</v>
      </c>
      <c r="I139">
        <v>0.13916387694766899</v>
      </c>
      <c r="J139">
        <v>0.40764459806805398</v>
      </c>
      <c r="K139">
        <v>-18.251113060559501</v>
      </c>
      <c r="L139">
        <v>0.5</v>
      </c>
      <c r="M139">
        <v>0</v>
      </c>
    </row>
    <row r="140" spans="1:16" x14ac:dyDescent="0.25">
      <c r="A140">
        <v>141</v>
      </c>
      <c r="B140">
        <v>9</v>
      </c>
      <c r="C140">
        <v>34.6</v>
      </c>
      <c r="D140">
        <v>45.5</v>
      </c>
      <c r="E140">
        <v>16.3</v>
      </c>
      <c r="F140">
        <v>17.3</v>
      </c>
      <c r="G140">
        <v>13.4</v>
      </c>
      <c r="H140">
        <v>-2.53877066127257</v>
      </c>
      <c r="I140">
        <v>0.23962031033265499</v>
      </c>
      <c r="J140">
        <v>0.439667538228045</v>
      </c>
      <c r="K140">
        <v>-10.5949727623175</v>
      </c>
      <c r="L140">
        <v>0</v>
      </c>
      <c r="M140">
        <v>0</v>
      </c>
    </row>
    <row r="141" spans="1:16" x14ac:dyDescent="0.25">
      <c r="A141">
        <v>31</v>
      </c>
      <c r="B141">
        <v>8.9</v>
      </c>
      <c r="C141">
        <v>24.5</v>
      </c>
      <c r="D141">
        <v>31.7</v>
      </c>
      <c r="E141">
        <v>11.6</v>
      </c>
      <c r="F141">
        <v>5.9</v>
      </c>
      <c r="G141">
        <v>16.3</v>
      </c>
      <c r="H141">
        <v>-2.4819392235305102</v>
      </c>
      <c r="I141">
        <v>9.5355736914350994E-2</v>
      </c>
      <c r="J141">
        <v>0.38155353622626298</v>
      </c>
      <c r="K141">
        <v>-26.028210822384001</v>
      </c>
      <c r="L141">
        <v>1</v>
      </c>
      <c r="M141">
        <v>0</v>
      </c>
    </row>
    <row r="142" spans="1:16" x14ac:dyDescent="0.25">
      <c r="A142">
        <v>23</v>
      </c>
      <c r="B142">
        <v>8.3000000000000007</v>
      </c>
      <c r="C142">
        <v>20.9</v>
      </c>
      <c r="D142">
        <v>32.299999999999997</v>
      </c>
      <c r="E142">
        <v>16.2</v>
      </c>
      <c r="F142">
        <v>6.1</v>
      </c>
      <c r="G142">
        <v>19.899999999999999</v>
      </c>
      <c r="H142">
        <v>-2.4700112267256098</v>
      </c>
      <c r="I142">
        <v>0.105525849490841</v>
      </c>
      <c r="J142">
        <v>0.40530269622447601</v>
      </c>
      <c r="K142">
        <v>-23.406693607711599</v>
      </c>
      <c r="L142">
        <v>1</v>
      </c>
      <c r="M142">
        <v>0</v>
      </c>
    </row>
    <row r="143" spans="1:16" x14ac:dyDescent="0.25">
      <c r="A143">
        <v>92</v>
      </c>
      <c r="B143">
        <v>10.8</v>
      </c>
      <c r="C143">
        <v>34.700000000000003</v>
      </c>
      <c r="D143">
        <v>55.3</v>
      </c>
      <c r="E143">
        <v>8.9</v>
      </c>
      <c r="F143">
        <v>13.5</v>
      </c>
      <c r="G143">
        <v>19.100000000000001</v>
      </c>
      <c r="H143">
        <v>-2.4525401267002902</v>
      </c>
      <c r="I143">
        <v>0.34640938921247599</v>
      </c>
      <c r="J143">
        <v>0.45529159883366999</v>
      </c>
      <c r="K143">
        <v>-7.0798892959451001</v>
      </c>
      <c r="L143">
        <v>0</v>
      </c>
      <c r="M143">
        <v>0</v>
      </c>
    </row>
    <row r="144" spans="1:16" x14ac:dyDescent="0.25">
      <c r="A144">
        <v>129</v>
      </c>
      <c r="B144">
        <v>8.6</v>
      </c>
      <c r="C144">
        <v>24.4</v>
      </c>
      <c r="D144">
        <v>30.5</v>
      </c>
      <c r="E144">
        <v>14.3</v>
      </c>
      <c r="F144">
        <v>17.100000000000001</v>
      </c>
      <c r="G144">
        <v>17.5</v>
      </c>
      <c r="H144">
        <v>-2.44238193052515</v>
      </c>
      <c r="I144">
        <v>0.10512241648406399</v>
      </c>
      <c r="J144">
        <v>0.38602303654838999</v>
      </c>
      <c r="K144">
        <v>-23.233692795631299</v>
      </c>
      <c r="L144">
        <v>1</v>
      </c>
      <c r="M144">
        <v>0</v>
      </c>
    </row>
    <row r="145" spans="1:13" x14ac:dyDescent="0.25">
      <c r="A145">
        <v>142</v>
      </c>
      <c r="B145">
        <v>9.3000000000000007</v>
      </c>
      <c r="C145">
        <v>30.4</v>
      </c>
      <c r="D145">
        <v>35.1</v>
      </c>
      <c r="E145">
        <v>17.5</v>
      </c>
      <c r="F145">
        <v>14.1</v>
      </c>
      <c r="G145">
        <v>12</v>
      </c>
      <c r="H145">
        <v>-2.4079159555617702</v>
      </c>
      <c r="I145">
        <v>0.15317088179701099</v>
      </c>
      <c r="J145">
        <v>0.382044127229904</v>
      </c>
      <c r="K145">
        <v>-15.720455006277501</v>
      </c>
      <c r="L145">
        <v>0</v>
      </c>
      <c r="M145">
        <v>0</v>
      </c>
    </row>
    <row r="146" spans="1:13" x14ac:dyDescent="0.25">
      <c r="A146">
        <v>24</v>
      </c>
      <c r="B146">
        <v>9.8000000000000007</v>
      </c>
      <c r="C146">
        <v>32.299999999999997</v>
      </c>
      <c r="D146">
        <v>42.1</v>
      </c>
      <c r="E146">
        <v>11.3</v>
      </c>
      <c r="F146">
        <v>14.5</v>
      </c>
      <c r="G146">
        <v>8.3000000000000007</v>
      </c>
      <c r="H146">
        <v>-2.3855994467451</v>
      </c>
      <c r="I146">
        <v>0.23946789313660299</v>
      </c>
      <c r="J146">
        <v>0.41773582846342999</v>
      </c>
      <c r="K146">
        <v>-9.9620847517301598</v>
      </c>
      <c r="L146">
        <v>0</v>
      </c>
      <c r="M146">
        <v>0</v>
      </c>
    </row>
    <row r="147" spans="1:13" x14ac:dyDescent="0.25">
      <c r="A147">
        <v>149</v>
      </c>
      <c r="B147">
        <v>10.199999999999999</v>
      </c>
      <c r="C147">
        <v>33.1</v>
      </c>
      <c r="D147">
        <v>36.9</v>
      </c>
      <c r="E147">
        <v>14.2</v>
      </c>
      <c r="F147">
        <v>8</v>
      </c>
      <c r="G147">
        <v>7.2</v>
      </c>
      <c r="H147">
        <v>-2.38492834808256</v>
      </c>
      <c r="I147">
        <v>0.19391705554317501</v>
      </c>
      <c r="J147">
        <v>0.38784141102782699</v>
      </c>
      <c r="K147">
        <v>-12.298703388426601</v>
      </c>
      <c r="L147">
        <v>0</v>
      </c>
      <c r="M147">
        <v>0</v>
      </c>
    </row>
    <row r="148" spans="1:13" x14ac:dyDescent="0.25">
      <c r="A148">
        <v>101</v>
      </c>
      <c r="B148">
        <v>9.4</v>
      </c>
      <c r="C148">
        <v>32.5</v>
      </c>
      <c r="D148">
        <v>33.5</v>
      </c>
      <c r="E148">
        <v>12</v>
      </c>
      <c r="F148">
        <v>7.8</v>
      </c>
      <c r="G148">
        <v>12.6</v>
      </c>
      <c r="H148">
        <v>-2.3504358339454798</v>
      </c>
      <c r="I148">
        <v>0.16654670854834999</v>
      </c>
      <c r="J148">
        <v>0.37318731121554899</v>
      </c>
      <c r="K148">
        <v>-14.112772653583299</v>
      </c>
      <c r="L148">
        <v>0</v>
      </c>
      <c r="M148">
        <v>0</v>
      </c>
    </row>
    <row r="149" spans="1:13" x14ac:dyDescent="0.25">
      <c r="A149">
        <v>79</v>
      </c>
      <c r="B149">
        <v>8.6999999999999993</v>
      </c>
      <c r="C149">
        <v>34.4</v>
      </c>
      <c r="D149">
        <v>33.700000000000003</v>
      </c>
      <c r="E149">
        <v>13.9</v>
      </c>
      <c r="F149">
        <v>14</v>
      </c>
      <c r="G149">
        <v>11</v>
      </c>
      <c r="H149">
        <v>-2.3017754227163301</v>
      </c>
      <c r="I149">
        <v>0.16818656168412099</v>
      </c>
      <c r="J149">
        <v>0.36273880832815902</v>
      </c>
      <c r="K149">
        <v>-13.685846239245899</v>
      </c>
      <c r="L149">
        <v>1</v>
      </c>
      <c r="M149">
        <v>0</v>
      </c>
    </row>
    <row r="150" spans="1:13" x14ac:dyDescent="0.25">
      <c r="A150">
        <v>108</v>
      </c>
      <c r="B150">
        <v>10</v>
      </c>
      <c r="C150">
        <v>31.5</v>
      </c>
      <c r="D150">
        <v>32.700000000000003</v>
      </c>
      <c r="E150">
        <v>17.7</v>
      </c>
      <c r="F150">
        <v>12.9</v>
      </c>
      <c r="G150">
        <v>5.8</v>
      </c>
      <c r="H150">
        <v>-2.2895729180357902</v>
      </c>
      <c r="I150">
        <v>0.15369981686981599</v>
      </c>
      <c r="J150">
        <v>0.353578737514398</v>
      </c>
      <c r="K150">
        <v>-14.8963932727067</v>
      </c>
      <c r="L150">
        <v>0</v>
      </c>
      <c r="M150">
        <v>0</v>
      </c>
    </row>
    <row r="151" spans="1:13" x14ac:dyDescent="0.25">
      <c r="A151">
        <v>49</v>
      </c>
      <c r="B151">
        <v>8.6</v>
      </c>
      <c r="C151">
        <v>30.7</v>
      </c>
      <c r="D151">
        <v>34.9</v>
      </c>
      <c r="E151">
        <v>14.4</v>
      </c>
      <c r="F151">
        <v>6.8</v>
      </c>
      <c r="G151">
        <v>10.8</v>
      </c>
      <c r="H151">
        <v>-2.23027448283477</v>
      </c>
      <c r="I151">
        <v>0.159945048820785</v>
      </c>
      <c r="J151">
        <v>0.35577193117619599</v>
      </c>
      <c r="K151">
        <v>-13.944004514536299</v>
      </c>
      <c r="L151">
        <v>0</v>
      </c>
      <c r="M151">
        <v>0</v>
      </c>
    </row>
    <row r="152" spans="1:13" x14ac:dyDescent="0.25">
      <c r="A152">
        <v>38</v>
      </c>
      <c r="B152">
        <v>10.199999999999999</v>
      </c>
      <c r="C152">
        <v>32.6</v>
      </c>
      <c r="D152">
        <v>31.3</v>
      </c>
      <c r="E152">
        <v>17.899999999999999</v>
      </c>
      <c r="F152">
        <v>11.7</v>
      </c>
      <c r="G152">
        <v>15.9</v>
      </c>
      <c r="H152">
        <v>-2.20664645148109</v>
      </c>
      <c r="I152">
        <v>0.15414457142516699</v>
      </c>
      <c r="J152">
        <v>0.32658821178320102</v>
      </c>
      <c r="K152">
        <v>-14.315434082946901</v>
      </c>
      <c r="L152">
        <v>0</v>
      </c>
      <c r="M152">
        <v>0</v>
      </c>
    </row>
    <row r="154" spans="1:13" x14ac:dyDescent="0.25">
      <c r="B154">
        <f>AVERAGE(B$2:INDEX(B$2:B$152,$I$154, 1))</f>
        <v>9.36</v>
      </c>
      <c r="C154">
        <f>AVERAGE(C$2:INDEX(C$2:C$152,$I$154, 1))</f>
        <v>30.660000000000004</v>
      </c>
      <c r="D154">
        <f>AVERAGE(D$2:INDEX(D$2:D$152,$I$154, 1))</f>
        <v>54.819999999999993</v>
      </c>
      <c r="E154">
        <f>AVERAGE(E$2:INDEX(E$2:E$152,$I$154, 1))</f>
        <v>13.36</v>
      </c>
      <c r="F154">
        <f>AVERAGE(F$2:INDEX(F$2:F$152,$I$154, 1))</f>
        <v>11.16</v>
      </c>
      <c r="G154">
        <f>AVERAGE(G$2:INDEX(G$2:G$152,$I$154, 1))</f>
        <v>15.580000000000002</v>
      </c>
      <c r="I154">
        <v>5</v>
      </c>
      <c r="J154" s="1" t="s">
        <v>14</v>
      </c>
      <c r="K154">
        <v>425</v>
      </c>
    </row>
    <row r="155" spans="1:13" x14ac:dyDescent="0.25">
      <c r="B155">
        <f>_xlfn.STDEV.S(B$2:INDEX(B$2:B$152,$I$154, 1))</f>
        <v>0.74363969770312854</v>
      </c>
      <c r="C155">
        <f>_xlfn.STDEV.S(C$2:INDEX(C$2:C$152,$I$154, 1))</f>
        <v>2.2656124999655178</v>
      </c>
      <c r="D155">
        <f>_xlfn.STDEV.S(D$2:INDEX(D$2:D$152,$I$154, 1))</f>
        <v>3.6458195237833686</v>
      </c>
      <c r="E155">
        <f>_xlfn.STDEV.S(E$2:INDEX(E$2:E$152,$I$154, 1))</f>
        <v>4.2518231383725267</v>
      </c>
      <c r="F155">
        <f>_xlfn.STDEV.S(F$2:INDEX(F$2:F$152,$I$154, 1))</f>
        <v>3.0138015860371428</v>
      </c>
      <c r="G155">
        <f>_xlfn.STDEV.S(G$2:INDEX(G$2:G$152,$I$154, 1))</f>
        <v>1.9942417105255761</v>
      </c>
      <c r="J155" s="1" t="s">
        <v>15</v>
      </c>
      <c r="K155">
        <v>220</v>
      </c>
    </row>
    <row r="156" spans="1:13" x14ac:dyDescent="0.25">
      <c r="J156" s="1" t="s">
        <v>16</v>
      </c>
      <c r="K156">
        <v>160</v>
      </c>
    </row>
  </sheetData>
  <sortState xmlns:xlrd2="http://schemas.microsoft.com/office/spreadsheetml/2017/richdata2" ref="A2:M152">
    <sortCondition ref="H2:H15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Sajan Patel</dc:creator>
  <cp:lastModifiedBy>Nestlerode, Kathryn</cp:lastModifiedBy>
  <dcterms:created xsi:type="dcterms:W3CDTF">2023-10-07T01:26:07Z</dcterms:created>
  <dcterms:modified xsi:type="dcterms:W3CDTF">2023-11-03T01:34:18Z</dcterms:modified>
</cp:coreProperties>
</file>